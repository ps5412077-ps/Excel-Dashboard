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preet\Desktop\Project\"/>
    </mc:Choice>
  </mc:AlternateContent>
  <xr:revisionPtr revIDLastSave="0" documentId="13_ncr:1_{CDA0C595-89B8-45FD-8EE0-C707B95F8545}" xr6:coauthVersionLast="47" xr6:coauthVersionMax="47" xr10:uidLastSave="{00000000-0000-0000-0000-000000000000}"/>
  <bookViews>
    <workbookView xWindow="-108" yWindow="-108" windowWidth="23256" windowHeight="12456" tabRatio="714" firstSheet="3" activeTab="10" xr2:uid="{00000000-000D-0000-FFFF-FFFF00000000}"/>
    <workbookView xWindow="-108" yWindow="-108" windowWidth="23256" windowHeight="12456" firstSheet="3" activeTab="10" xr2:uid="{87CD8B23-8D9F-4A9B-B345-829AB3E5B821}"/>
  </bookViews>
  <sheets>
    <sheet name="MONTH WISE" sheetId="4" state="hidden" r:id="rId1"/>
    <sheet name="TAX WISE" sheetId="5" state="hidden" r:id="rId2"/>
    <sheet name="PRODUCT WISE" sheetId="6" state="hidden" r:id="rId3"/>
    <sheet name="Firm_Wise" sheetId="9" r:id="rId4"/>
    <sheet name="Month_Wise" sheetId="10" r:id="rId5"/>
    <sheet name="Tax_Wise" sheetId="11" r:id="rId6"/>
    <sheet name="Product_Wise" sheetId="12" r:id="rId7"/>
    <sheet name="State_Wise" sheetId="13" r:id="rId8"/>
    <sheet name="DATA" sheetId="1" r:id="rId9"/>
    <sheet name="Sheet1" sheetId="7" r:id="rId10"/>
    <sheet name="DASHBOARD" sheetId="14" r:id="rId11"/>
  </sheets>
  <definedNames>
    <definedName name="Slicer_Date">#N/A</definedName>
    <definedName name="Slicer_Description_of_Goods">#N/A</definedName>
    <definedName name="Slicer_Firm_Name">#N/A</definedName>
    <definedName name="Slicer_State">#N/A</definedName>
    <definedName name="Slicer_Tax_Rat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<sst xmlns="http://schemas.openxmlformats.org/spreadsheetml/2006/main" count="217" uniqueCount="45">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</sst>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s>
  <fills count="6">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30">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0" fontId="2" fillId="4" borderId="2" xfId="1" applyFont="1" applyFill="1" applyBorder="1" applyAlignment="1">
      <alignment horizontal="center" vertical="center"/>
    </xf>
    <xf numFmtId="14" fontId="2" fillId="4" borderId="2" xfId="1" applyNumberFormat="1" applyFont="1" applyFill="1" applyBorder="1" applyAlignment="1">
      <alignment horizontal="center" vertical="center"/>
    </xf>
    <xf numFmtId="10" fontId="2" fillId="4" borderId="2" xfId="1" applyNumberFormat="1" applyFont="1" applyFill="1" applyBorder="1" applyAlignment="1">
      <alignment horizontal="center" vertical="center"/>
    </xf>
    <xf numFmtId="4" fontId="2" fillId="4" borderId="2" xfId="1" applyNumberFormat="1" applyFont="1" applyFill="1" applyBorder="1" applyAlignment="1">
      <alignment horizontal="center" vertical="center"/>
    </xf>
    <xf numFmtId="4" fontId="2" fillId="4" borderId="2" xfId="0" applyNumberFormat="1" applyFont="1" applyFill="1" applyBorder="1"/>
    <xf numFmtId="4" fontId="2" fillId="4" borderId="2" xfId="1" applyNumberFormat="1" applyFont="1" applyFill="1" applyBorder="1"/>
    <xf numFmtId="0" fontId="2" fillId="2" borderId="2" xfId="1" applyFont="1" applyBorder="1" applyAlignment="1">
      <alignment horizontal="center" vertical="center"/>
    </xf>
    <xf numFmtId="14" fontId="2" fillId="2" borderId="2" xfId="1" applyNumberFormat="1" applyFont="1" applyBorder="1" applyAlignment="1">
      <alignment horizontal="center" vertical="center"/>
    </xf>
    <xf numFmtId="10" fontId="2" fillId="2" borderId="2" xfId="1" applyNumberFormat="1" applyFont="1" applyBorder="1" applyAlignment="1">
      <alignment horizontal="center" vertical="center"/>
    </xf>
    <xf numFmtId="4" fontId="2" fillId="2" borderId="2" xfId="1" applyNumberFormat="1" applyFont="1" applyBorder="1" applyAlignment="1">
      <alignment horizontal="center" vertical="center"/>
    </xf>
    <xf numFmtId="4" fontId="2" fillId="0" borderId="2" xfId="0" applyNumberFormat="1" applyFont="1" applyBorder="1"/>
    <xf numFmtId="4" fontId="2" fillId="2" borderId="2" xfId="1" applyNumberFormat="1" applyFont="1" applyBorder="1"/>
    <xf numFmtId="10" fontId="2" fillId="4" borderId="2" xfId="1" applyNumberFormat="1" applyFont="1" applyFill="1" applyBorder="1" applyAlignment="1">
      <alignment horizontal="center"/>
    </xf>
    <xf numFmtId="0" fontId="2" fillId="4" borderId="2" xfId="1" applyFont="1" applyFill="1" applyBorder="1" applyAlignment="1">
      <alignment horizontal="center"/>
    </xf>
    <xf numFmtId="10" fontId="2" fillId="2" borderId="2" xfId="1" applyNumberFormat="1" applyFont="1" applyBorder="1" applyAlignment="1">
      <alignment horizontal="center"/>
    </xf>
    <xf numFmtId="0" fontId="2" fillId="2" borderId="2" xfId="1" applyFont="1" applyBorder="1" applyAlignment="1">
      <alignment horizontal="center"/>
    </xf>
    <xf numFmtId="0" fontId="2" fillId="4" borderId="3" xfId="1" applyFont="1" applyFill="1" applyBorder="1" applyAlignment="1">
      <alignment horizontal="center" vertical="center"/>
    </xf>
    <xf numFmtId="0" fontId="2" fillId="2" borderId="3" xfId="1" applyFont="1" applyBorder="1" applyAlignment="1">
      <alignment horizontal="center" vertical="center"/>
    </xf>
    <xf numFmtId="9" fontId="4" fillId="3" borderId="0" xfId="0" applyNumberFormat="1" applyFont="1" applyFill="1" applyBorder="1" applyAlignment="1">
      <alignment horizontal="center" vertical="center"/>
    </xf>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0" fontId="0" fillId="5" borderId="0" xfId="0" applyFill="1"/>
  </cellXfs>
  <cellStyles count="2">
    <cellStyle name="40% - Accent6" xfId="1" builtinId="51"/>
    <cellStyle name="Normal" xfId="0" builtinId="0"/>
  </cellStyles>
  <dxfs count="32">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Project-1.xlsx]Firm_Wise!PivotTable1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Firm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5998336690471832"/>
              <c:y val="-8.4041647111991798E-3"/>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984374046267472"/>
              <c:y val="2.189862856546905E-2"/>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984374046267472"/>
              <c:y val="2.189862856546905E-2"/>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998336690471832"/>
              <c:y val="-8.4041647111991798E-3"/>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984374046267472"/>
              <c:y val="2.189862856546905E-2"/>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998336690471832"/>
              <c:y val="-8.4041647111991798E-3"/>
            </c:manualLayout>
          </c:layout>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5C-44E1-97CC-B9F365B554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5C-44E1-97CC-B9F365B554D5}"/>
              </c:ext>
            </c:extLst>
          </c:dPt>
          <c:dLbls>
            <c:dLbl>
              <c:idx val="0"/>
              <c:layout>
                <c:manualLayout>
                  <c:x val="-0.15984374046267472"/>
                  <c:y val="2.18986285654690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C5C-44E1-97CC-B9F365B554D5}"/>
                </c:ext>
              </c:extLst>
            </c:dLbl>
            <c:dLbl>
              <c:idx val="1"/>
              <c:layout>
                <c:manualLayout>
                  <c:x val="0.15998336690471832"/>
                  <c:y val="-8.404164711199179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C5C-44E1-97CC-B9F365B554D5}"/>
                </c:ext>
              </c:extLst>
            </c:dLbl>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Firm_Wise!$A$4:$A$6</c:f>
              <c:strCache>
                <c:ptCount val="2"/>
                <c:pt idx="0">
                  <c:v>JK Enterprise</c:v>
                </c:pt>
                <c:pt idx="1">
                  <c:v>SR Hardware</c:v>
                </c:pt>
              </c:strCache>
            </c:strRef>
          </c:cat>
          <c:val>
            <c:numRef>
              <c:f>Firm_Wise!$B$4:$B$6</c:f>
              <c:numCache>
                <c:formatCode>General</c:formatCode>
                <c:ptCount val="2"/>
                <c:pt idx="0">
                  <c:v>382278.47000000003</c:v>
                </c:pt>
                <c:pt idx="1">
                  <c:v>459587.38999999996</c:v>
                </c:pt>
              </c:numCache>
            </c:numRef>
          </c:val>
          <c:extLst>
            <c:ext xmlns:c16="http://schemas.microsoft.com/office/drawing/2014/chart" uri="{C3380CC4-5D6E-409C-BE32-E72D297353CC}">
              <c16:uniqueId val="{00000004-5C5C-44E1-97CC-B9F365B554D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Project-1.xlsx]Tax_Wise!PivotTable3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Text</a:t>
            </a:r>
            <a:r>
              <a:rPr lang="en-IN" baseline="0"/>
              <a:t> Wise</a:t>
            </a: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Tax_Wise!$B$3</c:f>
              <c:strCache>
                <c:ptCount val="1"/>
                <c:pt idx="0">
                  <c:v>Sum of IGST</c:v>
                </c:pt>
              </c:strCache>
            </c:strRef>
          </c:tx>
          <c:spPr>
            <a:solidFill>
              <a:schemeClr val="accent1"/>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General</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F4CA-4111-A90B-85FD8AF00AB5}"/>
            </c:ext>
          </c:extLst>
        </c:ser>
        <c:ser>
          <c:idx val="1"/>
          <c:order val="1"/>
          <c:tx>
            <c:strRef>
              <c:f>Tax_Wise!$C$3</c:f>
              <c:strCache>
                <c:ptCount val="1"/>
                <c:pt idx="0">
                  <c:v>Sum of CGST</c:v>
                </c:pt>
              </c:strCache>
            </c:strRef>
          </c:tx>
          <c:spPr>
            <a:solidFill>
              <a:schemeClr val="accent2"/>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General</c:formatCode>
                <c:ptCount val="7"/>
                <c:pt idx="0">
                  <c:v>0</c:v>
                </c:pt>
                <c:pt idx="1">
                  <c:v>46.83</c:v>
                </c:pt>
                <c:pt idx="2">
                  <c:v>1087.125</c:v>
                </c:pt>
                <c:pt idx="3">
                  <c:v>2202.125</c:v>
                </c:pt>
                <c:pt idx="4">
                  <c:v>7559.4</c:v>
                </c:pt>
                <c:pt idx="5">
                  <c:v>3307.95</c:v>
                </c:pt>
                <c:pt idx="6">
                  <c:v>19200.300000000003</c:v>
                </c:pt>
              </c:numCache>
            </c:numRef>
          </c:val>
          <c:extLst>
            <c:ext xmlns:c16="http://schemas.microsoft.com/office/drawing/2014/chart" uri="{C3380CC4-5D6E-409C-BE32-E72D297353CC}">
              <c16:uniqueId val="{00000001-F4CA-4111-A90B-85FD8AF00AB5}"/>
            </c:ext>
          </c:extLst>
        </c:ser>
        <c:ser>
          <c:idx val="2"/>
          <c:order val="2"/>
          <c:tx>
            <c:strRef>
              <c:f>Tax_Wise!$D$3</c:f>
              <c:strCache>
                <c:ptCount val="1"/>
                <c:pt idx="0">
                  <c:v>Sum of SGST</c:v>
                </c:pt>
              </c:strCache>
            </c:strRef>
          </c:tx>
          <c:spPr>
            <a:solidFill>
              <a:schemeClr val="accent3"/>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General</c:formatCode>
                <c:ptCount val="7"/>
                <c:pt idx="0">
                  <c:v>0</c:v>
                </c:pt>
                <c:pt idx="1">
                  <c:v>46.83</c:v>
                </c:pt>
                <c:pt idx="2">
                  <c:v>1087.125</c:v>
                </c:pt>
                <c:pt idx="3">
                  <c:v>2202.125</c:v>
                </c:pt>
                <c:pt idx="4">
                  <c:v>7559.4</c:v>
                </c:pt>
                <c:pt idx="5">
                  <c:v>3307.95</c:v>
                </c:pt>
                <c:pt idx="6">
                  <c:v>19200.300000000003</c:v>
                </c:pt>
              </c:numCache>
            </c:numRef>
          </c:val>
          <c:extLst>
            <c:ext xmlns:c16="http://schemas.microsoft.com/office/drawing/2014/chart" uri="{C3380CC4-5D6E-409C-BE32-E72D297353CC}">
              <c16:uniqueId val="{00000002-F4CA-4111-A90B-85FD8AF00AB5}"/>
            </c:ext>
          </c:extLst>
        </c:ser>
        <c:ser>
          <c:idx val="3"/>
          <c:order val="3"/>
          <c:tx>
            <c:strRef>
              <c:f>Tax_Wise!$E$3</c:f>
              <c:strCache>
                <c:ptCount val="1"/>
                <c:pt idx="0">
                  <c:v>Sum of TOTAL</c:v>
                </c:pt>
              </c:strCache>
            </c:strRef>
          </c:tx>
          <c:spPr>
            <a:solidFill>
              <a:schemeClr val="accent1">
                <a:lumMod val="50000"/>
              </a:schemeClr>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General</c:formatCode>
                <c:ptCount val="7"/>
                <c:pt idx="0">
                  <c:v>84740</c:v>
                </c:pt>
                <c:pt idx="1">
                  <c:v>93753.659999999989</c:v>
                </c:pt>
                <c:pt idx="2">
                  <c:v>126329.5</c:v>
                </c:pt>
                <c:pt idx="3">
                  <c:v>121758</c:v>
                </c:pt>
                <c:pt idx="4">
                  <c:v>141108.79999999999</c:v>
                </c:pt>
                <c:pt idx="5">
                  <c:v>98630.3</c:v>
                </c:pt>
                <c:pt idx="6">
                  <c:v>175545.59999999998</c:v>
                </c:pt>
              </c:numCache>
            </c:numRef>
          </c:val>
          <c:extLst>
            <c:ext xmlns:c16="http://schemas.microsoft.com/office/drawing/2014/chart" uri="{C3380CC4-5D6E-409C-BE32-E72D297353CC}">
              <c16:uniqueId val="{00000003-F4CA-4111-A90B-85FD8AF00AB5}"/>
            </c:ext>
          </c:extLst>
        </c:ser>
        <c:dLbls>
          <c:showLegendKey val="0"/>
          <c:showVal val="0"/>
          <c:showCatName val="0"/>
          <c:showSerName val="0"/>
          <c:showPercent val="0"/>
          <c:showBubbleSize val="0"/>
        </c:dLbls>
        <c:gapWidth val="150"/>
        <c:shape val="box"/>
        <c:axId val="354453792"/>
        <c:axId val="354459072"/>
        <c:axId val="0"/>
      </c:bar3DChart>
      <c:catAx>
        <c:axId val="354453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459072"/>
        <c:crosses val="autoZero"/>
        <c:auto val="1"/>
        <c:lblAlgn val="ctr"/>
        <c:lblOffset val="100"/>
        <c:noMultiLvlLbl val="0"/>
      </c:catAx>
      <c:valAx>
        <c:axId val="354459072"/>
        <c:scaling>
          <c:orientation val="minMax"/>
        </c:scaling>
        <c:delete val="1"/>
        <c:axPos val="l"/>
        <c:numFmt formatCode="General" sourceLinked="1"/>
        <c:majorTickMark val="none"/>
        <c:minorTickMark val="none"/>
        <c:tickLblPos val="nextTo"/>
        <c:crossAx val="35445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Project-1.xlsx]Month_Wise!PivotTable2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Month_Wise!$B$3</c:f>
              <c:strCache>
                <c:ptCount val="1"/>
                <c:pt idx="0">
                  <c:v>Total</c:v>
                </c:pt>
              </c:strCache>
            </c:strRef>
          </c:tx>
          <c:spPr>
            <a:solidFill>
              <a:schemeClr val="accent1"/>
            </a:solidFill>
            <a:ln>
              <a:noFill/>
            </a:ln>
            <a:effectLst/>
            <a:sp3d/>
          </c:spPr>
          <c:invertIfNegative val="0"/>
          <c:cat>
            <c:strRef>
              <c:f>Month_Wise!$A$4:$A$8</c:f>
              <c:strCache>
                <c:ptCount val="4"/>
                <c:pt idx="0">
                  <c:v>Apr</c:v>
                </c:pt>
                <c:pt idx="1">
                  <c:v>May</c:v>
                </c:pt>
                <c:pt idx="2">
                  <c:v>Jun</c:v>
                </c:pt>
                <c:pt idx="3">
                  <c:v>Jul</c:v>
                </c:pt>
              </c:strCache>
            </c:strRef>
          </c:cat>
          <c:val>
            <c:numRef>
              <c:f>Month_Wise!$B$4:$B$8</c:f>
              <c:numCache>
                <c:formatCode>General</c:formatCode>
                <c:ptCount val="4"/>
                <c:pt idx="0">
                  <c:v>21004</c:v>
                </c:pt>
                <c:pt idx="1">
                  <c:v>229752.43999999997</c:v>
                </c:pt>
                <c:pt idx="2">
                  <c:v>389805.09</c:v>
                </c:pt>
                <c:pt idx="3">
                  <c:v>201304.33</c:v>
                </c:pt>
              </c:numCache>
            </c:numRef>
          </c:val>
          <c:shape val="cylinder"/>
          <c:extLst>
            <c:ext xmlns:c16="http://schemas.microsoft.com/office/drawing/2014/chart" uri="{C3380CC4-5D6E-409C-BE32-E72D297353CC}">
              <c16:uniqueId val="{00000000-F0C1-43AB-9D39-21C00838F80B}"/>
            </c:ext>
          </c:extLst>
        </c:ser>
        <c:dLbls>
          <c:showLegendKey val="0"/>
          <c:showVal val="0"/>
          <c:showCatName val="0"/>
          <c:showSerName val="0"/>
          <c:showPercent val="0"/>
          <c:showBubbleSize val="0"/>
        </c:dLbls>
        <c:gapWidth val="150"/>
        <c:gapDepth val="140"/>
        <c:shape val="box"/>
        <c:axId val="133331088"/>
        <c:axId val="369416000"/>
        <c:axId val="0"/>
      </c:bar3DChart>
      <c:catAx>
        <c:axId val="133331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16000"/>
        <c:crosses val="autoZero"/>
        <c:auto val="1"/>
        <c:lblAlgn val="ctr"/>
        <c:lblOffset val="100"/>
        <c:noMultiLvlLbl val="0"/>
      </c:catAx>
      <c:valAx>
        <c:axId val="369416000"/>
        <c:scaling>
          <c:orientation val="minMax"/>
        </c:scaling>
        <c:delete val="1"/>
        <c:axPos val="l"/>
        <c:numFmt formatCode="General" sourceLinked="1"/>
        <c:majorTickMark val="out"/>
        <c:minorTickMark val="none"/>
        <c:tickLblPos val="nextTo"/>
        <c:crossAx val="13333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Project-1.xlsx]Product_Wise!PivotTable4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9F-43BD-BE79-100E908E6B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9F-43BD-BE79-100E908E6B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Product_Wise!$A$4:$A$6</c:f>
              <c:strCache>
                <c:ptCount val="2"/>
                <c:pt idx="0">
                  <c:v>Plywood 4mm</c:v>
                </c:pt>
                <c:pt idx="1">
                  <c:v>Plywood 6mm</c:v>
                </c:pt>
              </c:strCache>
            </c:strRef>
          </c:cat>
          <c:val>
            <c:numRef>
              <c:f>Product_Wise!$B$4:$B$6</c:f>
              <c:numCache>
                <c:formatCode>General</c:formatCode>
                <c:ptCount val="2"/>
                <c:pt idx="0">
                  <c:v>398959.24</c:v>
                </c:pt>
                <c:pt idx="1">
                  <c:v>442906.61999999994</c:v>
                </c:pt>
              </c:numCache>
            </c:numRef>
          </c:val>
          <c:extLst>
            <c:ext xmlns:c16="http://schemas.microsoft.com/office/drawing/2014/chart" uri="{C3380CC4-5D6E-409C-BE32-E72D297353CC}">
              <c16:uniqueId val="{00000004-279F-43BD-BE79-100E908E6B1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Project-1.xlsx]State_Wise!PivotTable5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State_Wise!$B$3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State_Wise!$A$4:$A$6</c:f>
              <c:strCache>
                <c:ptCount val="2"/>
                <c:pt idx="0">
                  <c:v>INTERSTATE</c:v>
                </c:pt>
                <c:pt idx="1">
                  <c:v>Local</c:v>
                </c:pt>
              </c:strCache>
            </c:strRef>
          </c:cat>
          <c:val>
            <c:numRef>
              <c:f>State_Wise!$B$4:$B$6</c:f>
              <c:numCache>
                <c:formatCode>General</c:formatCode>
                <c:ptCount val="2"/>
                <c:pt idx="0">
                  <c:v>139553.4</c:v>
                </c:pt>
                <c:pt idx="1">
                  <c:v>702312.46</c:v>
                </c:pt>
              </c:numCache>
            </c:numRef>
          </c:val>
          <c:extLst>
            <c:ext xmlns:c16="http://schemas.microsoft.com/office/drawing/2014/chart" uri="{C3380CC4-5D6E-409C-BE32-E72D297353CC}">
              <c16:uniqueId val="{00000000-80AC-4606-B03C-9766CC39A337}"/>
            </c:ext>
          </c:extLst>
        </c:ser>
        <c:dLbls>
          <c:showLegendKey val="0"/>
          <c:showVal val="1"/>
          <c:showCatName val="0"/>
          <c:showSerName val="0"/>
          <c:showPercent val="0"/>
          <c:showBubbleSize val="0"/>
        </c:dLbls>
        <c:gapWidth val="150"/>
        <c:shape val="box"/>
        <c:axId val="534508592"/>
        <c:axId val="534510512"/>
        <c:axId val="0"/>
      </c:bar3DChart>
      <c:catAx>
        <c:axId val="53450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4510512"/>
        <c:crosses val="autoZero"/>
        <c:auto val="1"/>
        <c:lblAlgn val="ctr"/>
        <c:lblOffset val="100"/>
        <c:noMultiLvlLbl val="0"/>
      </c:catAx>
      <c:valAx>
        <c:axId val="534510512"/>
        <c:scaling>
          <c:orientation val="minMax"/>
        </c:scaling>
        <c:delete val="1"/>
        <c:axPos val="b"/>
        <c:numFmt formatCode="General" sourceLinked="1"/>
        <c:majorTickMark val="none"/>
        <c:minorTickMark val="none"/>
        <c:tickLblPos val="nextTo"/>
        <c:crossAx val="534508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80" b="1"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601980</xdr:colOff>
      <xdr:row>6</xdr:row>
      <xdr:rowOff>38100</xdr:rowOff>
    </xdr:from>
    <xdr:to>
      <xdr:col>6</xdr:col>
      <xdr:colOff>324555</xdr:colOff>
      <xdr:row>14</xdr:row>
      <xdr:rowOff>162278</xdr:rowOff>
    </xdr:to>
    <xdr:graphicFrame macro="">
      <xdr:nvGraphicFramePr>
        <xdr:cNvPr id="2" name="Chart 1">
          <a:extLst>
            <a:ext uri="{FF2B5EF4-FFF2-40B4-BE49-F238E27FC236}">
              <a16:creationId xmlns:a16="http://schemas.microsoft.com/office/drawing/2014/main" id="{B4716464-25ED-4B06-896D-472507F97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15</xdr:row>
      <xdr:rowOff>0</xdr:rowOff>
    </xdr:from>
    <xdr:to>
      <xdr:col>9</xdr:col>
      <xdr:colOff>294076</xdr:colOff>
      <xdr:row>25</xdr:row>
      <xdr:rowOff>176389</xdr:rowOff>
    </xdr:to>
    <xdr:graphicFrame macro="">
      <xdr:nvGraphicFramePr>
        <xdr:cNvPr id="5" name="Chart 4">
          <a:extLst>
            <a:ext uri="{FF2B5EF4-FFF2-40B4-BE49-F238E27FC236}">
              <a16:creationId xmlns:a16="http://schemas.microsoft.com/office/drawing/2014/main" id="{FAB6547D-380F-4446-A3DE-E376428EF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xdr:row>
      <xdr:rowOff>139983</xdr:rowOff>
    </xdr:from>
    <xdr:to>
      <xdr:col>1</xdr:col>
      <xdr:colOff>585611</xdr:colOff>
      <xdr:row>20</xdr:row>
      <xdr:rowOff>105834</xdr:rowOff>
    </xdr:to>
    <mc:AlternateContent xmlns:mc="http://schemas.openxmlformats.org/markup-compatibility/2006" xmlns:a14="http://schemas.microsoft.com/office/drawing/2010/main">
      <mc:Choice Requires="a14">
        <xdr:graphicFrame macro="">
          <xdr:nvGraphicFramePr>
            <xdr:cNvPr id="10" name="Tax Rate">
              <a:extLst>
                <a:ext uri="{FF2B5EF4-FFF2-40B4-BE49-F238E27FC236}">
                  <a16:creationId xmlns:a16="http://schemas.microsoft.com/office/drawing/2014/main" id="{15D9E6A4-4E50-32F5-251A-2DDBB7AC2344}"/>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mlns="">
        <xdr:sp macro="" textlink="">
          <xdr:nvSpPr>
            <xdr:cNvPr id="0" name=""/>
            <xdr:cNvSpPr>
              <a:spLocks noTextEdit="1"/>
            </xdr:cNvSpPr>
          </xdr:nvSpPr>
          <xdr:spPr>
            <a:xfrm>
              <a:off x="0" y="1957598"/>
              <a:ext cx="1193813" cy="1783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74707</xdr:rowOff>
    </xdr:from>
    <xdr:to>
      <xdr:col>16</xdr:col>
      <xdr:colOff>762000</xdr:colOff>
      <xdr:row>26</xdr:row>
      <xdr:rowOff>4150</xdr:rowOff>
    </xdr:to>
    <xdr:grpSp>
      <xdr:nvGrpSpPr>
        <xdr:cNvPr id="18" name="Group 17">
          <a:extLst>
            <a:ext uri="{FF2B5EF4-FFF2-40B4-BE49-F238E27FC236}">
              <a16:creationId xmlns:a16="http://schemas.microsoft.com/office/drawing/2014/main" id="{6A9269EB-4EBA-54D7-3EBD-A8D7A9972733}"/>
            </a:ext>
          </a:extLst>
        </xdr:cNvPr>
        <xdr:cNvGrpSpPr/>
      </xdr:nvGrpSpPr>
      <xdr:grpSpPr>
        <a:xfrm>
          <a:off x="0" y="74707"/>
          <a:ext cx="10493229" cy="4655241"/>
          <a:chOff x="0" y="74707"/>
          <a:chExt cx="10541000" cy="4676068"/>
        </a:xfrm>
      </xdr:grpSpPr>
      <xdr:graphicFrame macro="">
        <xdr:nvGraphicFramePr>
          <xdr:cNvPr id="3" name="Chart 2">
            <a:extLst>
              <a:ext uri="{FF2B5EF4-FFF2-40B4-BE49-F238E27FC236}">
                <a16:creationId xmlns:a16="http://schemas.microsoft.com/office/drawing/2014/main" id="{3F8F34EC-A2F0-4807-A09D-3F62D4422360}"/>
              </a:ext>
            </a:extLst>
          </xdr:cNvPr>
          <xdr:cNvGraphicFramePr>
            <a:graphicFrameLocks/>
          </xdr:cNvGraphicFramePr>
        </xdr:nvGraphicFramePr>
        <xdr:xfrm>
          <a:off x="4005790" y="1123597"/>
          <a:ext cx="2780772" cy="160866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 name="Chart 3">
            <a:extLst>
              <a:ext uri="{FF2B5EF4-FFF2-40B4-BE49-F238E27FC236}">
                <a16:creationId xmlns:a16="http://schemas.microsoft.com/office/drawing/2014/main" id="{B17FC197-8FE8-43D6-9EF8-87F070B8A67F}"/>
              </a:ext>
            </a:extLst>
          </xdr:cNvPr>
          <xdr:cNvGraphicFramePr>
            <a:graphicFrameLocks/>
          </xdr:cNvGraphicFramePr>
        </xdr:nvGraphicFramePr>
        <xdr:xfrm>
          <a:off x="6800675" y="1116542"/>
          <a:ext cx="2430639" cy="162895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8827DC3D-CB6E-4626-A28D-127F4CC5AC7F}"/>
              </a:ext>
            </a:extLst>
          </xdr:cNvPr>
          <xdr:cNvGraphicFramePr>
            <a:graphicFrameLocks/>
          </xdr:cNvGraphicFramePr>
        </xdr:nvGraphicFramePr>
        <xdr:xfrm>
          <a:off x="5811133" y="2752549"/>
          <a:ext cx="3434292" cy="1987903"/>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7" name="Firm Name ">
                <a:extLst>
                  <a:ext uri="{FF2B5EF4-FFF2-40B4-BE49-F238E27FC236}">
                    <a16:creationId xmlns:a16="http://schemas.microsoft.com/office/drawing/2014/main" id="{4E6745C9-13F7-8972-14B8-B26DF1280313}"/>
                  </a:ext>
                </a:extLst>
              </xdr:cNvPr>
              <xdr:cNvGraphicFramePr/>
            </xdr:nvGraphicFramePr>
            <xdr:xfrm>
              <a:off x="0" y="1123596"/>
              <a:ext cx="1203854" cy="836084"/>
            </xdr:xfrm>
            <a:graphic>
              <a:graphicData uri="http://schemas.microsoft.com/office/drawing/2010/slicer">
                <sle:slicer xmlns:sle="http://schemas.microsoft.com/office/drawing/2010/slicer" name="Firm Name "/>
              </a:graphicData>
            </a:graphic>
          </xdr:graphicFrame>
        </mc:Choice>
        <mc:Fallback xmlns="">
          <xdr:sp macro="" textlink="">
            <xdr:nvSpPr>
              <xdr:cNvPr id="0" name=""/>
              <xdr:cNvSpPr>
                <a:spLocks noTextEdit="1"/>
              </xdr:cNvSpPr>
            </xdr:nvSpPr>
            <xdr:spPr>
              <a:xfrm>
                <a:off x="0" y="1118924"/>
                <a:ext cx="1198398" cy="832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65D291F6-9DB5-1DB7-462D-B8F1CFB8F7AF}"/>
                  </a:ext>
                </a:extLst>
              </xdr:cNvPr>
              <xdr:cNvGraphicFramePr/>
            </xdr:nvGraphicFramePr>
            <xdr:xfrm>
              <a:off x="1" y="3778249"/>
              <a:ext cx="1203854" cy="972526"/>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 y="3761754"/>
                <a:ext cx="1198398" cy="968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Date">
                <a:extLst>
                  <a:ext uri="{FF2B5EF4-FFF2-40B4-BE49-F238E27FC236}">
                    <a16:creationId xmlns:a16="http://schemas.microsoft.com/office/drawing/2014/main" id="{6486797B-0D1F-B9AF-F2FF-12F3AB4712C4}"/>
                  </a:ext>
                </a:extLst>
              </xdr:cNvPr>
              <xdr:cNvGraphicFramePr/>
            </xdr:nvGraphicFramePr>
            <xdr:xfrm>
              <a:off x="9256148" y="2070276"/>
              <a:ext cx="1284852" cy="2670176"/>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214200" y="2061388"/>
                <a:ext cx="1279029" cy="2658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Description of Goods">
                <a:extLst>
                  <a:ext uri="{FF2B5EF4-FFF2-40B4-BE49-F238E27FC236}">
                    <a16:creationId xmlns:a16="http://schemas.microsoft.com/office/drawing/2014/main" id="{D12D975D-5EF8-4EBC-00C1-04069BB43E99}"/>
                  </a:ext>
                </a:extLst>
              </xdr:cNvPr>
              <xdr:cNvGraphicFramePr/>
            </xdr:nvGraphicFramePr>
            <xdr:xfrm>
              <a:off x="9252478" y="1116540"/>
              <a:ext cx="1288521" cy="941036"/>
            </xdr:xfrm>
            <a:graphic>
              <a:graphicData uri="http://schemas.microsoft.com/office/drawing/2010/slicer">
                <sle:slicer xmlns:sle="http://schemas.microsoft.com/office/drawing/2010/slicer" name="Description of Goods"/>
              </a:graphicData>
            </a:graphic>
          </xdr:graphicFrame>
        </mc:Choice>
        <mc:Fallback xmlns="">
          <xdr:sp macro="" textlink="">
            <xdr:nvSpPr>
              <xdr:cNvPr id="0" name=""/>
              <xdr:cNvSpPr>
                <a:spLocks noTextEdit="1"/>
              </xdr:cNvSpPr>
            </xdr:nvSpPr>
            <xdr:spPr>
              <a:xfrm>
                <a:off x="9210546" y="1111900"/>
                <a:ext cx="1282682" cy="936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2" name="TextBox 11">
            <a:extLst>
              <a:ext uri="{FF2B5EF4-FFF2-40B4-BE49-F238E27FC236}">
                <a16:creationId xmlns:a16="http://schemas.microsoft.com/office/drawing/2014/main" id="{987B1535-8DA0-08A2-8E39-536B8E8264DE}"/>
              </a:ext>
            </a:extLst>
          </xdr:cNvPr>
          <xdr:cNvSpPr txBox="1"/>
        </xdr:nvSpPr>
        <xdr:spPr>
          <a:xfrm>
            <a:off x="575235" y="74707"/>
            <a:ext cx="9883588" cy="98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a:solidFill>
                  <a:schemeClr val="bg1"/>
                </a:solidFill>
                <a:latin typeface="Algerian" panose="04020705040A02060702" pitchFamily="82" charset="0"/>
              </a:rPr>
              <a:t>SALES</a:t>
            </a:r>
            <a:r>
              <a:rPr lang="en-IN" sz="5400" baseline="0">
                <a:solidFill>
                  <a:schemeClr val="bg1"/>
                </a:solidFill>
                <a:latin typeface="Algerian" panose="04020705040A02060702" pitchFamily="82" charset="0"/>
              </a:rPr>
              <a:t> ANALYSIS DASHBOARD</a:t>
            </a:r>
            <a:endParaRPr lang="en-IN" sz="5400">
              <a:solidFill>
                <a:schemeClr val="bg1"/>
              </a:solidFill>
              <a:latin typeface="Algerian" panose="04020705040A02060702" pitchFamily="82" charset="0"/>
            </a:endParaRPr>
          </a:p>
        </xdr:txBody>
      </xdr: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eti Singh" refreshedDate="46166.596182986112" createdVersion="8" refreshedVersion="8" minRefreshableVersion="3" recordCount="36" xr:uid="{99CE36B8-DDDA-4B52-B89C-B0A8343D0C78}">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1810270990"/>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5953F-F5D3-42FE-B9E8-63CB24EF3FE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9">
    <pivotField name="PT_Firm"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h="1"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Sum of TOTAL" fld="14"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ED08FF-65A2-49B5-9F21-94C64C6764B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h="1"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T_Month"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Sum of TOTAL" fld="14"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F1746E-C407-423E-ADB0-94CC5899E76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1"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h="1" x="5"/>
        <item x="8"/>
        <item x="11"/>
        <item x="14"/>
        <item x="17"/>
        <item x="20"/>
        <item x="23"/>
        <item x="26"/>
        <item x="27"/>
        <item x="30"/>
        <item x="33"/>
        <item x="28"/>
        <item x="31"/>
        <item x="34"/>
        <item x="29"/>
        <item x="32"/>
        <item x="35"/>
        <item t="default"/>
      </items>
    </pivotField>
    <pivotField name="PT_text"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dataField name="Sum of CGST" fld="11" baseField="0" baseItem="0"/>
    <dataField name="Sum of SGST" fld="12" baseField="0" baseItem="0"/>
    <dataField name="Sum of TOTAL" fld="14" baseField="0"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EA672B-6C16-47B4-81D8-B210CF9309F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h="1"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D4AD6E-2A19-471D-AFE6-A9F51731C59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showAll="0">
      <items count="3">
        <item x="0"/>
        <item x="1"/>
        <item t="default"/>
      </items>
    </pivotField>
    <pivotField name="PT_State"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h="1"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um of TOTAL" fld="14"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9CF9F0CD-76CD-46A2-B43A-682DF3F373A0}" sourceName="Firm Name ">
  <pivotTables>
    <pivotTable tabId="10" name="PivotTable2"/>
    <pivotTable tabId="9" name="PivotTable1"/>
    <pivotTable tabId="12" name="PivotTable4"/>
    <pivotTable tabId="13" name="PivotTable5"/>
    <pivotTable tabId="11" name="PivotTable3"/>
  </pivotTables>
  <data>
    <tabular pivotCacheId="18102709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0E9D704-7BC9-412C-A48E-711F39956EF0}" sourceName="State">
  <pivotTables>
    <pivotTable tabId="10" name="PivotTable2"/>
    <pivotTable tabId="9" name="PivotTable1"/>
    <pivotTable tabId="12" name="PivotTable4"/>
    <pivotTable tabId="13" name="PivotTable5"/>
    <pivotTable tabId="11" name="PivotTable3"/>
  </pivotTables>
  <data>
    <tabular pivotCacheId="181027099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732C765-382F-4089-A427-86ACB5BA7F8F}" sourceName="Date">
  <pivotTables>
    <pivotTable tabId="10" name="PivotTable2"/>
    <pivotTable tabId="9" name="PivotTable1"/>
    <pivotTable tabId="12" name="PivotTable4"/>
    <pivotTable tabId="13" name="PivotTable5"/>
    <pivotTable tabId="11" name="PivotTable3"/>
  </pivotTables>
  <data>
    <tabular pivotCacheId="1810270990">
      <items count="36">
        <i x="0" s="1"/>
        <i x="3" s="1"/>
        <i x="6" s="1"/>
        <i x="9" s="1"/>
        <i x="12" s="1"/>
        <i x="15" s="1"/>
        <i x="18" s="1"/>
        <i x="21" s="1"/>
        <i x="24" s="1"/>
        <i x="1" s="1"/>
        <i x="4" s="1"/>
        <i x="7" s="1"/>
        <i x="10" s="1"/>
        <i x="13" s="1"/>
        <i x="16" s="1"/>
        <i x="19" s="1"/>
        <i x="22" s="1"/>
        <i x="25" s="1"/>
        <i x="2" s="1"/>
        <i x="5"/>
        <i x="8" s="1"/>
        <i x="11" s="1"/>
        <i x="14" s="1"/>
        <i x="17" s="1"/>
        <i x="20" s="1"/>
        <i x="23" s="1"/>
        <i x="26" s="1"/>
        <i x="27" s="1"/>
        <i x="30" s="1"/>
        <i x="33" s="1"/>
        <i x="28" s="1"/>
        <i x="31" s="1"/>
        <i x="34" s="1"/>
        <i x="29" s="1"/>
        <i x="32" s="1"/>
        <i x="3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289BD103-9EB5-4285-9817-721EC3034431}" sourceName="Tax Rate">
  <pivotTables>
    <pivotTable tabId="10" name="PivotTable2"/>
    <pivotTable tabId="9" name="PivotTable1"/>
    <pivotTable tabId="12" name="PivotTable4"/>
    <pivotTable tabId="13" name="PivotTable5"/>
    <pivotTable tabId="11" name="PivotTable3"/>
  </pivotTables>
  <data>
    <tabular pivotCacheId="1810270990">
      <items count="7">
        <i x="3" s="1"/>
        <i x="6" s="1"/>
        <i x="2" s="1"/>
        <i x="5"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AF041CD1-5029-4433-BC98-466ABA76F474}" sourceName="Description of Goods">
  <pivotTables>
    <pivotTable tabId="10" name="PivotTable2"/>
    <pivotTable tabId="9" name="PivotTable1"/>
    <pivotTable tabId="12" name="PivotTable4"/>
    <pivotTable tabId="13" name="PivotTable5"/>
    <pivotTable tabId="11" name="PivotTable3"/>
  </pivotTables>
  <data>
    <tabular pivotCacheId="18102709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m Name " xr10:uid="{59000BBF-DC3A-408F-B295-B6BA383AD704}" cache="Slicer_Firm_Name" caption="Firm" rowHeight="234950"/>
  <slicer name="State" xr10:uid="{F7DCA094-C304-488C-9097-D7915234CBB4}" cache="Slicer_State" caption="State" rowHeight="234950"/>
  <slicer name="Date" xr10:uid="{3FD085E7-4283-4434-A568-5F48A7A771F1}" cache="Slicer_Date" caption="Date" rowHeight="234950"/>
  <slicer name="Tax Rate" xr10:uid="{FC66BEAB-737B-464E-8450-DDC484182E14}" cache="Slicer_Tax_Rate" caption="GST Rate" rowHeight="234950"/>
  <slicer name="Description of Goods" xr10:uid="{DD7B6A32-37E1-4A03-80A7-B29D140D144E}" cache="Slicer_Description_of_Goods" caption="Product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677E2F-4282-43A6-A20A-6A503C3D024E}" name="Sales_Data" displayName="Sales_Data" ref="A1:P37" totalsRowShown="0" headerRowDxfId="31" dataDxfId="30" tableBorderDxfId="29" dataCellStyle="40% - Accent6">
  <autoFilter ref="A1:P37" xr:uid="{1C677E2F-4282-43A6-A20A-6A503C3D024E}"/>
  <tableColumns count="16">
    <tableColumn id="1" xr3:uid="{165FAAFD-46D8-4EDC-B132-A9D5FF0016AE}" name="Firm Name " dataDxfId="28" dataCellStyle="40% - Accent6"/>
    <tableColumn id="2" xr3:uid="{B1B0B1B5-788F-4146-B4F6-D7F7CCFE1E90}" name="State" dataDxfId="27" dataCellStyle="40% - Accent6"/>
    <tableColumn id="3" xr3:uid="{E1DA4377-53A1-4C89-B62D-52B85325A635}" name="Invoice No." dataDxfId="26" dataCellStyle="40% - Accent6"/>
    <tableColumn id="4" xr3:uid="{D826D7AB-DBE1-4E14-9AFC-562C256E761E}" name="Date" dataDxfId="25" dataCellStyle="40% - Accent6"/>
    <tableColumn id="5" xr3:uid="{86AAA687-C722-484B-9741-15E7E2A48211}" name="Tax Rate" dataDxfId="24" dataCellStyle="40% - Accent6"/>
    <tableColumn id="6" xr3:uid="{AE657C83-15E2-4C54-8182-C0BBF3244F6B}" name="Description of Goods" dataDxfId="23" dataCellStyle="40% - Accent6"/>
    <tableColumn id="7" xr3:uid="{73E3D24F-B823-4B02-98AD-40C91D714690}" name="Qty" dataDxfId="22" dataCellStyle="40% - Accent6"/>
    <tableColumn id="8" xr3:uid="{15E1E6BB-E2C0-4141-9113-769E5E952C2D}" name="Unit" dataDxfId="21" dataCellStyle="40% - Accent6"/>
    <tableColumn id="9" xr3:uid="{13CDABAC-8D54-4BEF-A8BB-4349CEA31796}" name="Rate" dataDxfId="20" dataCellStyle="40% - Accent6"/>
    <tableColumn id="10" xr3:uid="{01FB7187-4DE4-470B-BD3F-77E24AE446BC}" name="Taxable Value" dataDxfId="19"/>
    <tableColumn id="11" xr3:uid="{450E04FB-4A11-4BBF-B2DA-FBB91C71B7F6}" name="IGST" dataDxfId="18" dataCellStyle="40% - Accent6"/>
    <tableColumn id="12" xr3:uid="{AE6673D7-9303-453D-8E0B-0A79B41C7B67}" name="CGST" dataDxfId="17" dataCellStyle="40% - Accent6"/>
    <tableColumn id="13" xr3:uid="{9084E587-7CAD-48EB-B75F-2B8F235DF684}" name="SGST" dataDxfId="16" dataCellStyle="40% - Accent6"/>
    <tableColumn id="14" xr3:uid="{B3D4ED90-F453-47D0-A4F6-39F73B5DF3A9}" name="CESS" dataDxfId="15" dataCellStyle="40% - Accent6"/>
    <tableColumn id="15" xr3:uid="{5980C711-BCC9-4379-9B87-62979E69DD79}" name="TOTAL" dataDxfId="14" dataCellStyle="40% - Accent6"/>
    <tableColumn id="16" xr3:uid="{32F8F0F1-67A3-468A-8FE2-B2F7944FAA02}" name="INVOICE VALUE"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 workbookViewId="1"/>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4" t="s">
        <v>27</v>
      </c>
      <c r="B4" s="3">
        <v>21004</v>
      </c>
    </row>
    <row r="5" spans="1:2" x14ac:dyDescent="0.3">
      <c r="A5" s="4" t="s">
        <v>28</v>
      </c>
      <c r="B5" s="3">
        <v>229752.43999999997</v>
      </c>
    </row>
    <row r="6" spans="1:2" x14ac:dyDescent="0.3">
      <c r="A6" s="4" t="s">
        <v>29</v>
      </c>
      <c r="B6" s="3">
        <v>389805.09</v>
      </c>
    </row>
    <row r="7" spans="1:2" x14ac:dyDescent="0.3">
      <c r="A7" s="4" t="s">
        <v>30</v>
      </c>
      <c r="B7" s="3">
        <v>229402.33</v>
      </c>
    </row>
    <row r="8" spans="1:2" x14ac:dyDescent="0.3">
      <c r="A8" s="4" t="s">
        <v>25</v>
      </c>
      <c r="B8" s="3">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 workbookViewId="1"/>
  </sheetViews>
  <sheetFormatPr defaultRowHeight="14.4" x14ac:dyDescent="0.3"/>
  <cols>
    <col min="1" max="1" width="12.5546875" bestFit="1" customWidth="1"/>
    <col min="2" max="2" width="11.21875" bestFit="1" customWidth="1"/>
    <col min="3" max="3" width="11.77734375" bestFit="1" customWidth="1"/>
    <col min="4" max="4" width="11.6640625" bestFit="1" customWidth="1"/>
    <col min="5" max="6" width="12.88671875" bestFit="1" customWidth="1"/>
  </cols>
  <sheetData>
    <row r="3" spans="1:6" x14ac:dyDescent="0.3">
      <c r="A3" s="1" t="s">
        <v>24</v>
      </c>
      <c r="B3" t="s">
        <v>31</v>
      </c>
      <c r="C3" t="s">
        <v>32</v>
      </c>
      <c r="D3" t="s">
        <v>33</v>
      </c>
      <c r="E3" t="s">
        <v>34</v>
      </c>
      <c r="F3" t="s">
        <v>26</v>
      </c>
    </row>
    <row r="4" spans="1:6" x14ac:dyDescent="0.3">
      <c r="A4" s="5">
        <v>0</v>
      </c>
      <c r="B4" s="3">
        <v>0</v>
      </c>
      <c r="C4" s="3">
        <v>0</v>
      </c>
      <c r="D4" s="3">
        <v>0</v>
      </c>
      <c r="E4" s="3"/>
      <c r="F4" s="3">
        <v>84740</v>
      </c>
    </row>
    <row r="5" spans="1:6" x14ac:dyDescent="0.3">
      <c r="A5" s="5">
        <v>1E-3</v>
      </c>
      <c r="B5" s="3">
        <v>0</v>
      </c>
      <c r="C5" s="3">
        <v>46.83</v>
      </c>
      <c r="D5" s="3">
        <v>46.83</v>
      </c>
      <c r="E5" s="3"/>
      <c r="F5" s="3">
        <v>93753.659999999989</v>
      </c>
    </row>
    <row r="6" spans="1:6" x14ac:dyDescent="0.3">
      <c r="A6" s="5">
        <v>0.03</v>
      </c>
      <c r="B6" s="3">
        <v>1505.25</v>
      </c>
      <c r="C6" s="3">
        <v>1087.125</v>
      </c>
      <c r="D6" s="3">
        <v>1087.125</v>
      </c>
      <c r="E6" s="3"/>
      <c r="F6" s="3">
        <v>126329.5</v>
      </c>
    </row>
    <row r="7" spans="1:6" x14ac:dyDescent="0.3">
      <c r="A7" s="5">
        <v>0.05</v>
      </c>
      <c r="B7" s="3">
        <v>1393.75</v>
      </c>
      <c r="C7" s="3">
        <v>2871.125</v>
      </c>
      <c r="D7" s="3">
        <v>2871.125</v>
      </c>
      <c r="E7" s="3"/>
      <c r="F7" s="3">
        <v>149856</v>
      </c>
    </row>
    <row r="8" spans="1:6" x14ac:dyDescent="0.3">
      <c r="A8" s="5">
        <v>0.12</v>
      </c>
      <c r="B8" s="3">
        <v>0</v>
      </c>
      <c r="C8" s="3">
        <v>7559.4</v>
      </c>
      <c r="D8" s="3">
        <v>7559.4</v>
      </c>
      <c r="E8" s="3"/>
      <c r="F8" s="3">
        <v>141108.79999999999</v>
      </c>
    </row>
    <row r="9" spans="1:6" x14ac:dyDescent="0.3">
      <c r="A9" s="5">
        <v>0.18</v>
      </c>
      <c r="B9" s="3">
        <v>8429.4</v>
      </c>
      <c r="C9" s="3">
        <v>3307.95</v>
      </c>
      <c r="D9" s="3">
        <v>3307.95</v>
      </c>
      <c r="E9" s="3"/>
      <c r="F9" s="3">
        <v>98630.3</v>
      </c>
    </row>
    <row r="10" spans="1:6" x14ac:dyDescent="0.3">
      <c r="A10" s="5">
        <v>0.28000000000000003</v>
      </c>
      <c r="B10" s="3">
        <v>0</v>
      </c>
      <c r="C10" s="3">
        <v>19200.300000000003</v>
      </c>
      <c r="D10" s="3">
        <v>19200.300000000003</v>
      </c>
      <c r="E10" s="3"/>
      <c r="F10" s="3">
        <v>175545.59999999998</v>
      </c>
    </row>
    <row r="11" spans="1:6" x14ac:dyDescent="0.3">
      <c r="A11" s="5" t="s">
        <v>25</v>
      </c>
      <c r="B11" s="3">
        <v>11328.4</v>
      </c>
      <c r="C11" s="3">
        <v>34072.730000000003</v>
      </c>
      <c r="D11" s="3">
        <v>34072.730000000003</v>
      </c>
      <c r="E11" s="3"/>
      <c r="F11" s="3">
        <v>869963.8600000001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 workbookViewId="1"/>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s="3">
        <v>427057.24</v>
      </c>
    </row>
    <row r="5" spans="1:2" x14ac:dyDescent="0.3">
      <c r="A5" s="2" t="s">
        <v>18</v>
      </c>
      <c r="B5" s="3">
        <v>442906.61999999994</v>
      </c>
    </row>
    <row r="6" spans="1:2" x14ac:dyDescent="0.3">
      <c r="A6" s="2" t="s">
        <v>25</v>
      </c>
      <c r="B6" s="3">
        <v>869963.85999999987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2A540-948E-4C2B-B2F2-26A2A75B7D35}">
  <dimension ref="A3:B6"/>
  <sheetViews>
    <sheetView workbookViewId="0">
      <selection activeCell="E18" sqref="E18"/>
    </sheetView>
    <sheetView workbookViewId="1"/>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16</v>
      </c>
      <c r="B4" s="3">
        <v>382278.47000000003</v>
      </c>
    </row>
    <row r="5" spans="1:2" x14ac:dyDescent="0.3">
      <c r="A5" s="2" t="s">
        <v>22</v>
      </c>
      <c r="B5" s="3">
        <v>459587.38999999996</v>
      </c>
    </row>
    <row r="6" spans="1:2" x14ac:dyDescent="0.3">
      <c r="A6" s="2" t="s">
        <v>25</v>
      </c>
      <c r="B6" s="3">
        <v>841865.86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894F6-169B-40A1-8717-2DA014B5E01E}">
  <dimension ref="A3:B8"/>
  <sheetViews>
    <sheetView workbookViewId="0">
      <selection activeCell="M6" sqref="M6"/>
    </sheetView>
    <sheetView workbookViewId="1"/>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27</v>
      </c>
      <c r="B4" s="3">
        <v>21004</v>
      </c>
    </row>
    <row r="5" spans="1:2" x14ac:dyDescent="0.3">
      <c r="A5" s="2" t="s">
        <v>28</v>
      </c>
      <c r="B5" s="3">
        <v>229752.43999999997</v>
      </c>
    </row>
    <row r="6" spans="1:2" x14ac:dyDescent="0.3">
      <c r="A6" s="2" t="s">
        <v>29</v>
      </c>
      <c r="B6" s="3">
        <v>389805.09</v>
      </c>
    </row>
    <row r="7" spans="1:2" x14ac:dyDescent="0.3">
      <c r="A7" s="2" t="s">
        <v>30</v>
      </c>
      <c r="B7" s="3">
        <v>201304.33</v>
      </c>
    </row>
    <row r="8" spans="1:2" x14ac:dyDescent="0.3">
      <c r="A8" s="2" t="s">
        <v>25</v>
      </c>
      <c r="B8" s="3">
        <v>841865.86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0EEAB-6F0C-49EE-95F6-A477CD886BA6}">
  <dimension ref="A3:E11"/>
  <sheetViews>
    <sheetView workbookViewId="0">
      <selection activeCell="H17" sqref="H17"/>
    </sheetView>
    <sheetView workbookViewId="1"/>
  </sheetViews>
  <sheetFormatPr defaultRowHeight="14.4" x14ac:dyDescent="0.3"/>
  <cols>
    <col min="1" max="1" width="12.5546875" bestFit="1" customWidth="1"/>
    <col min="2" max="2" width="11.21875" bestFit="1" customWidth="1"/>
    <col min="3" max="3" width="11.77734375" bestFit="1" customWidth="1"/>
    <col min="4" max="4" width="11.6640625" bestFit="1" customWidth="1"/>
    <col min="5" max="5" width="12.88671875" bestFit="1" customWidth="1"/>
  </cols>
  <sheetData>
    <row r="3" spans="1:5" x14ac:dyDescent="0.3">
      <c r="A3" s="1" t="s">
        <v>24</v>
      </c>
      <c r="B3" t="s">
        <v>31</v>
      </c>
      <c r="C3" t="s">
        <v>32</v>
      </c>
      <c r="D3" t="s">
        <v>33</v>
      </c>
      <c r="E3" t="s">
        <v>26</v>
      </c>
    </row>
    <row r="4" spans="1:5" x14ac:dyDescent="0.3">
      <c r="A4" s="5">
        <v>0</v>
      </c>
      <c r="B4" s="3">
        <v>0</v>
      </c>
      <c r="C4" s="3">
        <v>0</v>
      </c>
      <c r="D4" s="3">
        <v>0</v>
      </c>
      <c r="E4" s="3">
        <v>84740</v>
      </c>
    </row>
    <row r="5" spans="1:5" x14ac:dyDescent="0.3">
      <c r="A5" s="5">
        <v>1E-3</v>
      </c>
      <c r="B5" s="3">
        <v>0</v>
      </c>
      <c r="C5" s="3">
        <v>46.83</v>
      </c>
      <c r="D5" s="3">
        <v>46.83</v>
      </c>
      <c r="E5" s="3">
        <v>93753.659999999989</v>
      </c>
    </row>
    <row r="6" spans="1:5" x14ac:dyDescent="0.3">
      <c r="A6" s="5">
        <v>0.03</v>
      </c>
      <c r="B6" s="3">
        <v>1505.25</v>
      </c>
      <c r="C6" s="3">
        <v>1087.125</v>
      </c>
      <c r="D6" s="3">
        <v>1087.125</v>
      </c>
      <c r="E6" s="3">
        <v>126329.5</v>
      </c>
    </row>
    <row r="7" spans="1:5" x14ac:dyDescent="0.3">
      <c r="A7" s="5">
        <v>0.05</v>
      </c>
      <c r="B7" s="3">
        <v>1393.75</v>
      </c>
      <c r="C7" s="3">
        <v>2202.125</v>
      </c>
      <c r="D7" s="3">
        <v>2202.125</v>
      </c>
      <c r="E7" s="3">
        <v>121758</v>
      </c>
    </row>
    <row r="8" spans="1:5" x14ac:dyDescent="0.3">
      <c r="A8" s="5">
        <v>0.12</v>
      </c>
      <c r="B8" s="3">
        <v>0</v>
      </c>
      <c r="C8" s="3">
        <v>7559.4</v>
      </c>
      <c r="D8" s="3">
        <v>7559.4</v>
      </c>
      <c r="E8" s="3">
        <v>141108.79999999999</v>
      </c>
    </row>
    <row r="9" spans="1:5" x14ac:dyDescent="0.3">
      <c r="A9" s="5">
        <v>0.18</v>
      </c>
      <c r="B9" s="3">
        <v>8429.4</v>
      </c>
      <c r="C9" s="3">
        <v>3307.95</v>
      </c>
      <c r="D9" s="3">
        <v>3307.95</v>
      </c>
      <c r="E9" s="3">
        <v>98630.3</v>
      </c>
    </row>
    <row r="10" spans="1:5" x14ac:dyDescent="0.3">
      <c r="A10" s="5">
        <v>0.28000000000000003</v>
      </c>
      <c r="B10" s="3">
        <v>0</v>
      </c>
      <c r="C10" s="3">
        <v>19200.300000000003</v>
      </c>
      <c r="D10" s="3">
        <v>19200.300000000003</v>
      </c>
      <c r="E10" s="3">
        <v>175545.59999999998</v>
      </c>
    </row>
    <row r="11" spans="1:5" x14ac:dyDescent="0.3">
      <c r="A11" s="5" t="s">
        <v>25</v>
      </c>
      <c r="B11" s="3">
        <v>11328.4</v>
      </c>
      <c r="C11" s="3">
        <v>33403.730000000003</v>
      </c>
      <c r="D11" s="3">
        <v>33403.730000000003</v>
      </c>
      <c r="E11" s="3">
        <v>841865.86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36532-0E44-461C-99AE-71349F8DB3F5}">
  <dimension ref="A3:B6"/>
  <sheetViews>
    <sheetView workbookViewId="0">
      <selection activeCell="L13" sqref="L13"/>
    </sheetView>
    <sheetView workbookViewId="1"/>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s="3">
        <v>398959.24</v>
      </c>
    </row>
    <row r="5" spans="1:2" x14ac:dyDescent="0.3">
      <c r="A5" s="2" t="s">
        <v>18</v>
      </c>
      <c r="B5" s="3">
        <v>442906.61999999994</v>
      </c>
    </row>
    <row r="6" spans="1:2" x14ac:dyDescent="0.3">
      <c r="A6" s="2" t="s">
        <v>25</v>
      </c>
      <c r="B6" s="3">
        <v>841865.85999999987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30D8-EE17-409F-A7C2-F1D8C9C47700}">
  <dimension ref="A3:B6"/>
  <sheetViews>
    <sheetView workbookViewId="0">
      <selection activeCell="N17" sqref="N17"/>
    </sheetView>
    <sheetView workbookViewId="1"/>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21</v>
      </c>
      <c r="B4" s="3">
        <v>139553.4</v>
      </c>
    </row>
    <row r="5" spans="1:2" x14ac:dyDescent="0.3">
      <c r="A5" s="2" t="s">
        <v>17</v>
      </c>
      <c r="B5" s="3">
        <v>702312.46</v>
      </c>
    </row>
    <row r="6" spans="1:2" x14ac:dyDescent="0.3">
      <c r="A6" s="2" t="s">
        <v>25</v>
      </c>
      <c r="B6" s="3">
        <v>841865.86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topLeftCell="A2" zoomScale="85" zoomScaleNormal="85" workbookViewId="0">
      <selection activeCell="C12" sqref="C12"/>
    </sheetView>
    <sheetView zoomScale="78" workbookViewId="1"/>
  </sheetViews>
  <sheetFormatPr defaultRowHeight="14.4" x14ac:dyDescent="0.3"/>
  <cols>
    <col min="1" max="1" width="16.33203125" customWidth="1"/>
    <col min="2" max="2" width="12.88671875" bestFit="1" customWidth="1"/>
    <col min="3" max="3" width="16.109375" customWidth="1"/>
    <col min="4" max="4" width="13.88671875" customWidth="1"/>
    <col min="5" max="5" width="13" customWidth="1"/>
    <col min="6" max="6" width="27.33203125" customWidth="1"/>
    <col min="7" max="7" width="8.44140625" customWidth="1"/>
    <col min="8" max="8" width="8.5546875" customWidth="1"/>
    <col min="9" max="9" width="10.88671875" customWidth="1"/>
    <col min="10" max="10" width="19" customWidth="1"/>
    <col min="11" max="11" width="9.5546875" bestFit="1" customWidth="1"/>
    <col min="12" max="12" width="10.44140625" customWidth="1"/>
    <col min="13" max="13" width="10.5546875" customWidth="1"/>
    <col min="14" max="14" width="8.5546875" customWidth="1"/>
    <col min="15" max="15" width="12.5546875" customWidth="1"/>
    <col min="16" max="16" width="20.5546875" customWidth="1"/>
  </cols>
  <sheetData>
    <row r="1" spans="1:16" ht="18" x14ac:dyDescent="0.3">
      <c r="A1" s="25" t="s">
        <v>0</v>
      </c>
      <c r="B1" s="26" t="s">
        <v>1</v>
      </c>
      <c r="C1" s="26" t="s">
        <v>2</v>
      </c>
      <c r="D1" s="26" t="s">
        <v>3</v>
      </c>
      <c r="E1" s="27" t="s">
        <v>4</v>
      </c>
      <c r="F1" s="27" t="s">
        <v>5</v>
      </c>
      <c r="G1" s="27" t="s">
        <v>6</v>
      </c>
      <c r="H1" s="27" t="s">
        <v>7</v>
      </c>
      <c r="I1" s="27" t="s">
        <v>8</v>
      </c>
      <c r="J1" s="28" t="s">
        <v>9</v>
      </c>
      <c r="K1" s="28" t="s">
        <v>10</v>
      </c>
      <c r="L1" s="28" t="s">
        <v>11</v>
      </c>
      <c r="M1" s="28" t="s">
        <v>12</v>
      </c>
      <c r="N1" s="28" t="s">
        <v>13</v>
      </c>
      <c r="O1" s="28" t="s">
        <v>14</v>
      </c>
      <c r="P1" s="26" t="s">
        <v>15</v>
      </c>
    </row>
    <row r="2" spans="1:16" ht="15.6" x14ac:dyDescent="0.3">
      <c r="A2" s="23" t="s">
        <v>16</v>
      </c>
      <c r="B2" s="7" t="s">
        <v>17</v>
      </c>
      <c r="C2" s="7">
        <v>23</v>
      </c>
      <c r="D2" s="8">
        <v>43922</v>
      </c>
      <c r="E2" s="9">
        <v>0.18</v>
      </c>
      <c r="F2" s="7" t="s">
        <v>18</v>
      </c>
      <c r="G2" s="7">
        <v>8</v>
      </c>
      <c r="H2" s="9" t="s">
        <v>19</v>
      </c>
      <c r="I2" s="10">
        <v>2225</v>
      </c>
      <c r="J2" s="11">
        <v>17800</v>
      </c>
      <c r="K2" s="12">
        <v>0</v>
      </c>
      <c r="L2" s="12">
        <v>1602</v>
      </c>
      <c r="M2" s="12">
        <v>1602</v>
      </c>
      <c r="N2" s="12"/>
      <c r="O2" s="12">
        <v>21004</v>
      </c>
      <c r="P2" s="11">
        <v>21004</v>
      </c>
    </row>
    <row r="3" spans="1:16" ht="15.6" x14ac:dyDescent="0.3">
      <c r="A3" s="24" t="s">
        <v>16</v>
      </c>
      <c r="B3" s="13" t="s">
        <v>17</v>
      </c>
      <c r="C3" s="13">
        <v>24</v>
      </c>
      <c r="D3" s="14">
        <v>43986</v>
      </c>
      <c r="E3" s="15">
        <v>0.12</v>
      </c>
      <c r="F3" s="13" t="s">
        <v>20</v>
      </c>
      <c r="G3" s="13">
        <v>2</v>
      </c>
      <c r="H3" s="15" t="s">
        <v>19</v>
      </c>
      <c r="I3" s="16">
        <v>1670</v>
      </c>
      <c r="J3" s="17">
        <v>3340</v>
      </c>
      <c r="K3" s="18">
        <v>0</v>
      </c>
      <c r="L3" s="18">
        <v>200.4</v>
      </c>
      <c r="M3" s="18">
        <v>200.4</v>
      </c>
      <c r="N3" s="18"/>
      <c r="O3" s="18">
        <v>3740.8</v>
      </c>
      <c r="P3" s="17">
        <v>3740.8</v>
      </c>
    </row>
    <row r="4" spans="1:16" ht="15.6" x14ac:dyDescent="0.3">
      <c r="A4" s="23" t="s">
        <v>16</v>
      </c>
      <c r="B4" s="7" t="s">
        <v>17</v>
      </c>
      <c r="C4" s="7">
        <v>25</v>
      </c>
      <c r="D4" s="8">
        <v>44016</v>
      </c>
      <c r="E4" s="9">
        <v>0.03</v>
      </c>
      <c r="F4" s="7" t="s">
        <v>18</v>
      </c>
      <c r="G4" s="7">
        <v>10</v>
      </c>
      <c r="H4" s="9" t="s">
        <v>19</v>
      </c>
      <c r="I4" s="10">
        <v>1115</v>
      </c>
      <c r="J4" s="11">
        <v>11150</v>
      </c>
      <c r="K4" s="12">
        <v>0</v>
      </c>
      <c r="L4" s="12">
        <v>167.25</v>
      </c>
      <c r="M4" s="12">
        <v>167.25</v>
      </c>
      <c r="N4" s="12"/>
      <c r="O4" s="12">
        <v>11484.5</v>
      </c>
      <c r="P4" s="11">
        <v>11484.5</v>
      </c>
    </row>
    <row r="5" spans="1:16" ht="15.6" x14ac:dyDescent="0.3">
      <c r="A5" s="24" t="s">
        <v>16</v>
      </c>
      <c r="B5" s="13" t="s">
        <v>21</v>
      </c>
      <c r="C5" s="13">
        <v>26</v>
      </c>
      <c r="D5" s="14">
        <v>43956</v>
      </c>
      <c r="E5" s="15">
        <v>0</v>
      </c>
      <c r="F5" s="13" t="s">
        <v>20</v>
      </c>
      <c r="G5" s="13">
        <v>3</v>
      </c>
      <c r="H5" s="15" t="s">
        <v>19</v>
      </c>
      <c r="I5" s="16">
        <v>1115</v>
      </c>
      <c r="J5" s="17">
        <v>3345</v>
      </c>
      <c r="K5" s="18">
        <v>0</v>
      </c>
      <c r="L5" s="18">
        <v>0</v>
      </c>
      <c r="M5" s="18">
        <v>0</v>
      </c>
      <c r="N5" s="18"/>
      <c r="O5" s="18">
        <v>3345</v>
      </c>
      <c r="P5" s="17">
        <v>3345</v>
      </c>
    </row>
    <row r="6" spans="1:16" ht="15.6" x14ac:dyDescent="0.3">
      <c r="A6" s="23" t="s">
        <v>16</v>
      </c>
      <c r="B6" s="7" t="s">
        <v>17</v>
      </c>
      <c r="C6" s="7">
        <v>27</v>
      </c>
      <c r="D6" s="8">
        <v>43987</v>
      </c>
      <c r="E6" s="9">
        <v>0.28000000000000003</v>
      </c>
      <c r="F6" s="7" t="s">
        <v>18</v>
      </c>
      <c r="G6" s="7">
        <v>4</v>
      </c>
      <c r="H6" s="9" t="s">
        <v>19</v>
      </c>
      <c r="I6" s="10">
        <v>1115</v>
      </c>
      <c r="J6" s="11">
        <v>4460</v>
      </c>
      <c r="K6" s="12">
        <v>0</v>
      </c>
      <c r="L6" s="12">
        <v>624.40000000000009</v>
      </c>
      <c r="M6" s="12">
        <v>624.40000000000009</v>
      </c>
      <c r="N6" s="12"/>
      <c r="O6" s="12">
        <v>5708.7999999999993</v>
      </c>
      <c r="P6" s="11">
        <v>5708.7999999999993</v>
      </c>
    </row>
    <row r="7" spans="1:16" ht="15.6" x14ac:dyDescent="0.3">
      <c r="A7" s="24" t="s">
        <v>16</v>
      </c>
      <c r="B7" s="13" t="s">
        <v>17</v>
      </c>
      <c r="C7" s="13">
        <v>28</v>
      </c>
      <c r="D7" s="14">
        <v>44017</v>
      </c>
      <c r="E7" s="15">
        <v>0.05</v>
      </c>
      <c r="F7" s="13" t="s">
        <v>20</v>
      </c>
      <c r="G7" s="13">
        <v>24</v>
      </c>
      <c r="H7" s="15" t="s">
        <v>19</v>
      </c>
      <c r="I7" s="16">
        <v>1115</v>
      </c>
      <c r="J7" s="17">
        <v>26760</v>
      </c>
      <c r="K7" s="18">
        <v>0</v>
      </c>
      <c r="L7" s="18">
        <v>669</v>
      </c>
      <c r="M7" s="18">
        <v>669</v>
      </c>
      <c r="N7" s="18"/>
      <c r="O7" s="18">
        <v>28098</v>
      </c>
      <c r="P7" s="17">
        <v>28098</v>
      </c>
    </row>
    <row r="8" spans="1:16" ht="15.6" x14ac:dyDescent="0.3">
      <c r="A8" s="23" t="s">
        <v>16</v>
      </c>
      <c r="B8" s="7" t="s">
        <v>17</v>
      </c>
      <c r="C8" s="7">
        <v>29</v>
      </c>
      <c r="D8" s="8">
        <v>43957</v>
      </c>
      <c r="E8" s="9">
        <v>1E-3</v>
      </c>
      <c r="F8" s="7" t="s">
        <v>18</v>
      </c>
      <c r="G8" s="7">
        <v>30</v>
      </c>
      <c r="H8" s="9" t="s">
        <v>19</v>
      </c>
      <c r="I8" s="10">
        <v>1115</v>
      </c>
      <c r="J8" s="11">
        <v>33450</v>
      </c>
      <c r="K8" s="12">
        <v>0</v>
      </c>
      <c r="L8" s="12">
        <v>16.725000000000001</v>
      </c>
      <c r="M8" s="12">
        <v>16.725000000000001</v>
      </c>
      <c r="N8" s="12"/>
      <c r="O8" s="12">
        <v>33483.449999999997</v>
      </c>
      <c r="P8" s="11">
        <v>33483.449999999997</v>
      </c>
    </row>
    <row r="9" spans="1:16" ht="15.6" x14ac:dyDescent="0.3">
      <c r="A9" s="24" t="s">
        <v>16</v>
      </c>
      <c r="B9" s="13" t="s">
        <v>17</v>
      </c>
      <c r="C9" s="13">
        <v>30</v>
      </c>
      <c r="D9" s="14">
        <v>43988</v>
      </c>
      <c r="E9" s="15">
        <v>0.03</v>
      </c>
      <c r="F9" s="13" t="s">
        <v>20</v>
      </c>
      <c r="G9" s="13">
        <v>12</v>
      </c>
      <c r="H9" s="15" t="s">
        <v>19</v>
      </c>
      <c r="I9" s="16">
        <v>1115</v>
      </c>
      <c r="J9" s="17">
        <v>13380</v>
      </c>
      <c r="K9" s="18">
        <v>0</v>
      </c>
      <c r="L9" s="18">
        <v>200.7</v>
      </c>
      <c r="M9" s="18">
        <v>200.7</v>
      </c>
      <c r="N9" s="18"/>
      <c r="O9" s="18">
        <v>13781.400000000001</v>
      </c>
      <c r="P9" s="17">
        <v>13781.400000000001</v>
      </c>
    </row>
    <row r="10" spans="1:16" ht="15.6" x14ac:dyDescent="0.3">
      <c r="A10" s="23" t="s">
        <v>22</v>
      </c>
      <c r="B10" s="7" t="s">
        <v>17</v>
      </c>
      <c r="C10" s="7">
        <v>31</v>
      </c>
      <c r="D10" s="8">
        <v>44018</v>
      </c>
      <c r="E10" s="9">
        <v>0.18</v>
      </c>
      <c r="F10" s="7" t="s">
        <v>18</v>
      </c>
      <c r="G10" s="7">
        <v>17</v>
      </c>
      <c r="H10" s="9" t="s">
        <v>19</v>
      </c>
      <c r="I10" s="10">
        <v>1115</v>
      </c>
      <c r="J10" s="11">
        <v>18955</v>
      </c>
      <c r="K10" s="12">
        <v>0</v>
      </c>
      <c r="L10" s="12">
        <v>1705.95</v>
      </c>
      <c r="M10" s="12">
        <v>1705.95</v>
      </c>
      <c r="N10" s="12"/>
      <c r="O10" s="12">
        <v>22366.9</v>
      </c>
      <c r="P10" s="11">
        <v>22366.9</v>
      </c>
    </row>
    <row r="11" spans="1:16" ht="15.6" x14ac:dyDescent="0.3">
      <c r="A11" s="24" t="s">
        <v>22</v>
      </c>
      <c r="B11" s="13" t="s">
        <v>17</v>
      </c>
      <c r="C11" s="13">
        <v>32</v>
      </c>
      <c r="D11" s="14">
        <v>43958</v>
      </c>
      <c r="E11" s="15">
        <v>1E-3</v>
      </c>
      <c r="F11" s="13" t="s">
        <v>20</v>
      </c>
      <c r="G11" s="13">
        <v>16</v>
      </c>
      <c r="H11" s="15" t="s">
        <v>19</v>
      </c>
      <c r="I11" s="16">
        <v>1115</v>
      </c>
      <c r="J11" s="17">
        <v>17840</v>
      </c>
      <c r="K11" s="18">
        <v>0</v>
      </c>
      <c r="L11" s="18">
        <v>8.92</v>
      </c>
      <c r="M11" s="18">
        <v>8.92</v>
      </c>
      <c r="N11" s="18"/>
      <c r="O11" s="18">
        <v>17857.839999999997</v>
      </c>
      <c r="P11" s="17">
        <v>17857.839999999997</v>
      </c>
    </row>
    <row r="12" spans="1:16" ht="15.6" x14ac:dyDescent="0.3">
      <c r="A12" s="23" t="s">
        <v>22</v>
      </c>
      <c r="B12" s="7" t="s">
        <v>17</v>
      </c>
      <c r="C12" s="7">
        <v>33</v>
      </c>
      <c r="D12" s="8">
        <v>43989</v>
      </c>
      <c r="E12" s="9">
        <v>0.28000000000000003</v>
      </c>
      <c r="F12" s="7" t="s">
        <v>18</v>
      </c>
      <c r="G12" s="7">
        <v>50</v>
      </c>
      <c r="H12" s="9" t="s">
        <v>19</v>
      </c>
      <c r="I12" s="10">
        <v>1115</v>
      </c>
      <c r="J12" s="11">
        <v>55750</v>
      </c>
      <c r="K12" s="12">
        <v>0</v>
      </c>
      <c r="L12" s="12">
        <v>7805.0000000000009</v>
      </c>
      <c r="M12" s="12">
        <v>7805.0000000000009</v>
      </c>
      <c r="N12" s="12"/>
      <c r="O12" s="12">
        <v>71360</v>
      </c>
      <c r="P12" s="11">
        <v>71360</v>
      </c>
    </row>
    <row r="13" spans="1:16" ht="15.6" x14ac:dyDescent="0.3">
      <c r="A13" s="24" t="s">
        <v>22</v>
      </c>
      <c r="B13" s="13" t="s">
        <v>17</v>
      </c>
      <c r="C13" s="13">
        <v>34</v>
      </c>
      <c r="D13" s="14">
        <v>44019</v>
      </c>
      <c r="E13" s="15">
        <v>0</v>
      </c>
      <c r="F13" s="13" t="s">
        <v>20</v>
      </c>
      <c r="G13" s="13">
        <v>21</v>
      </c>
      <c r="H13" s="15" t="s">
        <v>19</v>
      </c>
      <c r="I13" s="16">
        <v>1115</v>
      </c>
      <c r="J13" s="17">
        <v>23415</v>
      </c>
      <c r="K13" s="18">
        <v>0</v>
      </c>
      <c r="L13" s="18">
        <v>0</v>
      </c>
      <c r="M13" s="18">
        <v>0</v>
      </c>
      <c r="N13" s="18"/>
      <c r="O13" s="18">
        <v>23415</v>
      </c>
      <c r="P13" s="17">
        <v>23415</v>
      </c>
    </row>
    <row r="14" spans="1:16" ht="15.6" x14ac:dyDescent="0.3">
      <c r="A14" s="23" t="s">
        <v>16</v>
      </c>
      <c r="B14" s="7" t="s">
        <v>21</v>
      </c>
      <c r="C14" s="7">
        <v>35</v>
      </c>
      <c r="D14" s="8">
        <v>43959</v>
      </c>
      <c r="E14" s="19">
        <v>0.05</v>
      </c>
      <c r="F14" s="7" t="s">
        <v>18</v>
      </c>
      <c r="G14" s="20">
        <v>25</v>
      </c>
      <c r="H14" s="9" t="s">
        <v>19</v>
      </c>
      <c r="I14" s="10">
        <v>1115</v>
      </c>
      <c r="J14" s="11">
        <v>27875</v>
      </c>
      <c r="K14" s="12">
        <v>1393.75</v>
      </c>
      <c r="L14" s="12">
        <v>0</v>
      </c>
      <c r="M14" s="12">
        <v>0</v>
      </c>
      <c r="N14" s="12"/>
      <c r="O14" s="12">
        <v>29268.75</v>
      </c>
      <c r="P14" s="11">
        <v>29268.75</v>
      </c>
    </row>
    <row r="15" spans="1:16" ht="15.6" x14ac:dyDescent="0.3">
      <c r="A15" s="24" t="s">
        <v>16</v>
      </c>
      <c r="B15" s="13" t="s">
        <v>21</v>
      </c>
      <c r="C15" s="13">
        <v>36</v>
      </c>
      <c r="D15" s="14">
        <v>43990</v>
      </c>
      <c r="E15" s="21">
        <v>0.18</v>
      </c>
      <c r="F15" s="13" t="s">
        <v>20</v>
      </c>
      <c r="G15" s="22">
        <v>42</v>
      </c>
      <c r="H15" s="15" t="s">
        <v>19</v>
      </c>
      <c r="I15" s="16">
        <v>1115</v>
      </c>
      <c r="J15" s="17">
        <v>46830</v>
      </c>
      <c r="K15" s="18">
        <v>8429.4</v>
      </c>
      <c r="L15" s="18">
        <v>0</v>
      </c>
      <c r="M15" s="18">
        <v>0</v>
      </c>
      <c r="N15" s="18"/>
      <c r="O15" s="18">
        <v>55259.4</v>
      </c>
      <c r="P15" s="17">
        <v>55259.4</v>
      </c>
    </row>
    <row r="16" spans="1:16" ht="15.6" x14ac:dyDescent="0.3">
      <c r="A16" s="23" t="s">
        <v>16</v>
      </c>
      <c r="B16" s="7" t="s">
        <v>23</v>
      </c>
      <c r="C16" s="7">
        <v>37</v>
      </c>
      <c r="D16" s="8">
        <v>44020</v>
      </c>
      <c r="E16" s="19">
        <v>1E-3</v>
      </c>
      <c r="F16" s="7" t="s">
        <v>18</v>
      </c>
      <c r="G16" s="20">
        <v>32</v>
      </c>
      <c r="H16" s="9" t="s">
        <v>19</v>
      </c>
      <c r="I16" s="10">
        <v>1115</v>
      </c>
      <c r="J16" s="11">
        <v>35680</v>
      </c>
      <c r="K16" s="12">
        <v>0</v>
      </c>
      <c r="L16" s="12">
        <v>17.84</v>
      </c>
      <c r="M16" s="12">
        <v>17.84</v>
      </c>
      <c r="N16" s="12"/>
      <c r="O16" s="12">
        <v>35715.679999999993</v>
      </c>
      <c r="P16" s="11">
        <v>35715.679999999993</v>
      </c>
    </row>
    <row r="17" spans="1:16" ht="15.6" x14ac:dyDescent="0.3">
      <c r="A17" s="24" t="s">
        <v>16</v>
      </c>
      <c r="B17" s="13" t="s">
        <v>23</v>
      </c>
      <c r="C17" s="13">
        <v>38</v>
      </c>
      <c r="D17" s="14">
        <v>43960</v>
      </c>
      <c r="E17" s="21">
        <v>0</v>
      </c>
      <c r="F17" s="13" t="s">
        <v>20</v>
      </c>
      <c r="G17" s="22">
        <v>10</v>
      </c>
      <c r="H17" s="15" t="s">
        <v>19</v>
      </c>
      <c r="I17" s="16">
        <v>1115</v>
      </c>
      <c r="J17" s="17">
        <v>11150</v>
      </c>
      <c r="K17" s="18">
        <v>0</v>
      </c>
      <c r="L17" s="18">
        <v>0</v>
      </c>
      <c r="M17" s="18">
        <v>0</v>
      </c>
      <c r="N17" s="18"/>
      <c r="O17" s="18">
        <v>11150</v>
      </c>
      <c r="P17" s="17">
        <v>11150</v>
      </c>
    </row>
    <row r="18" spans="1:16" ht="15.6" x14ac:dyDescent="0.3">
      <c r="A18" s="23" t="s">
        <v>16</v>
      </c>
      <c r="B18" s="7" t="s">
        <v>23</v>
      </c>
      <c r="C18" s="7">
        <v>39</v>
      </c>
      <c r="D18" s="8">
        <v>43991</v>
      </c>
      <c r="E18" s="19">
        <v>0.28000000000000003</v>
      </c>
      <c r="F18" s="7" t="s">
        <v>18</v>
      </c>
      <c r="G18" s="20">
        <v>20</v>
      </c>
      <c r="H18" s="9" t="s">
        <v>19</v>
      </c>
      <c r="I18" s="10">
        <v>1115</v>
      </c>
      <c r="J18" s="11">
        <v>22300</v>
      </c>
      <c r="K18" s="12">
        <v>0</v>
      </c>
      <c r="L18" s="12">
        <v>3122.0000000000005</v>
      </c>
      <c r="M18" s="12">
        <v>3122.0000000000005</v>
      </c>
      <c r="N18" s="12"/>
      <c r="O18" s="12">
        <v>28544</v>
      </c>
      <c r="P18" s="11">
        <v>28544</v>
      </c>
    </row>
    <row r="19" spans="1:16" ht="15.6" x14ac:dyDescent="0.3">
      <c r="A19" s="24" t="s">
        <v>22</v>
      </c>
      <c r="B19" s="13" t="s">
        <v>23</v>
      </c>
      <c r="C19" s="13">
        <v>40</v>
      </c>
      <c r="D19" s="14">
        <v>44021</v>
      </c>
      <c r="E19" s="21">
        <v>0.12</v>
      </c>
      <c r="F19" s="13" t="s">
        <v>20</v>
      </c>
      <c r="G19" s="22">
        <v>30</v>
      </c>
      <c r="H19" s="15" t="s">
        <v>19</v>
      </c>
      <c r="I19" s="16">
        <v>1115</v>
      </c>
      <c r="J19" s="17">
        <v>33450</v>
      </c>
      <c r="K19" s="18">
        <v>0</v>
      </c>
      <c r="L19" s="18">
        <v>2007</v>
      </c>
      <c r="M19" s="18">
        <v>2007</v>
      </c>
      <c r="N19" s="18"/>
      <c r="O19" s="18">
        <v>37464</v>
      </c>
      <c r="P19" s="17">
        <v>37464</v>
      </c>
    </row>
    <row r="20" spans="1:16" ht="15.6" x14ac:dyDescent="0.3">
      <c r="A20" s="23" t="s">
        <v>22</v>
      </c>
      <c r="B20" s="7" t="s">
        <v>21</v>
      </c>
      <c r="C20" s="7">
        <v>41</v>
      </c>
      <c r="D20" s="8">
        <v>43961</v>
      </c>
      <c r="E20" s="19">
        <v>0.03</v>
      </c>
      <c r="F20" s="7" t="s">
        <v>18</v>
      </c>
      <c r="G20" s="20">
        <v>45</v>
      </c>
      <c r="H20" s="9" t="s">
        <v>19</v>
      </c>
      <c r="I20" s="10">
        <v>1115</v>
      </c>
      <c r="J20" s="11">
        <v>50175</v>
      </c>
      <c r="K20" s="12">
        <v>1505.25</v>
      </c>
      <c r="L20" s="12">
        <v>0</v>
      </c>
      <c r="M20" s="12">
        <v>0</v>
      </c>
      <c r="N20" s="12"/>
      <c r="O20" s="12">
        <v>51680.25</v>
      </c>
      <c r="P20" s="11">
        <v>51680.25</v>
      </c>
    </row>
    <row r="21" spans="1:16" ht="15.6" x14ac:dyDescent="0.3">
      <c r="A21" s="24" t="s">
        <v>22</v>
      </c>
      <c r="B21" s="13" t="s">
        <v>23</v>
      </c>
      <c r="C21" s="13">
        <v>42</v>
      </c>
      <c r="D21" s="14">
        <v>43992</v>
      </c>
      <c r="E21" s="21">
        <v>0.05</v>
      </c>
      <c r="F21" s="13" t="s">
        <v>20</v>
      </c>
      <c r="G21" s="22">
        <v>62</v>
      </c>
      <c r="H21" s="15" t="s">
        <v>19</v>
      </c>
      <c r="I21" s="16">
        <v>1115</v>
      </c>
      <c r="J21" s="17">
        <v>69130</v>
      </c>
      <c r="K21" s="18">
        <v>0</v>
      </c>
      <c r="L21" s="18">
        <v>1728.25</v>
      </c>
      <c r="M21" s="18">
        <v>1728.25</v>
      </c>
      <c r="N21" s="18"/>
      <c r="O21" s="18">
        <v>72586.5</v>
      </c>
      <c r="P21" s="17">
        <v>72586.5</v>
      </c>
    </row>
    <row r="22" spans="1:16" ht="15.6" x14ac:dyDescent="0.3">
      <c r="A22" s="23" t="s">
        <v>22</v>
      </c>
      <c r="B22" s="7" t="s">
        <v>23</v>
      </c>
      <c r="C22" s="7">
        <v>43</v>
      </c>
      <c r="D22" s="8">
        <v>44022</v>
      </c>
      <c r="E22" s="19">
        <v>0</v>
      </c>
      <c r="F22" s="7" t="s">
        <v>18</v>
      </c>
      <c r="G22" s="20">
        <v>12</v>
      </c>
      <c r="H22" s="9" t="s">
        <v>19</v>
      </c>
      <c r="I22" s="10">
        <v>1115</v>
      </c>
      <c r="J22" s="11">
        <v>13380</v>
      </c>
      <c r="K22" s="12">
        <v>0</v>
      </c>
      <c r="L22" s="12">
        <v>0</v>
      </c>
      <c r="M22" s="12">
        <v>0</v>
      </c>
      <c r="N22" s="12"/>
      <c r="O22" s="12">
        <v>13380</v>
      </c>
      <c r="P22" s="11">
        <v>13380</v>
      </c>
    </row>
    <row r="23" spans="1:16" ht="15.6" x14ac:dyDescent="0.3">
      <c r="A23" s="24" t="s">
        <v>22</v>
      </c>
      <c r="B23" s="13" t="s">
        <v>23</v>
      </c>
      <c r="C23" s="13">
        <v>44</v>
      </c>
      <c r="D23" s="14">
        <v>43962</v>
      </c>
      <c r="E23" s="21">
        <v>0</v>
      </c>
      <c r="F23" s="13" t="s">
        <v>20</v>
      </c>
      <c r="G23" s="22">
        <v>25</v>
      </c>
      <c r="H23" s="15" t="s">
        <v>19</v>
      </c>
      <c r="I23" s="16">
        <v>1115</v>
      </c>
      <c r="J23" s="17">
        <v>27875</v>
      </c>
      <c r="K23" s="18">
        <v>0</v>
      </c>
      <c r="L23" s="18">
        <v>0</v>
      </c>
      <c r="M23" s="18">
        <v>0</v>
      </c>
      <c r="N23" s="18"/>
      <c r="O23" s="18">
        <v>27875</v>
      </c>
      <c r="P23" s="17">
        <v>27875</v>
      </c>
    </row>
    <row r="24" spans="1:16" ht="15.6" x14ac:dyDescent="0.3">
      <c r="A24" s="23" t="s">
        <v>22</v>
      </c>
      <c r="B24" s="7" t="s">
        <v>23</v>
      </c>
      <c r="C24" s="7">
        <v>45</v>
      </c>
      <c r="D24" s="8">
        <v>43993</v>
      </c>
      <c r="E24" s="19">
        <v>0.12</v>
      </c>
      <c r="F24" s="7" t="s">
        <v>18</v>
      </c>
      <c r="G24" s="20">
        <v>45</v>
      </c>
      <c r="H24" s="9" t="s">
        <v>19</v>
      </c>
      <c r="I24" s="10">
        <v>1115</v>
      </c>
      <c r="J24" s="11">
        <v>50175</v>
      </c>
      <c r="K24" s="12">
        <v>0</v>
      </c>
      <c r="L24" s="12">
        <v>3010.5</v>
      </c>
      <c r="M24" s="12">
        <v>3010.5</v>
      </c>
      <c r="N24" s="12"/>
      <c r="O24" s="12">
        <v>56196</v>
      </c>
      <c r="P24" s="11">
        <v>56196</v>
      </c>
    </row>
    <row r="25" spans="1:16" ht="15.6" x14ac:dyDescent="0.3">
      <c r="A25" s="24" t="s">
        <v>22</v>
      </c>
      <c r="B25" s="13" t="s">
        <v>23</v>
      </c>
      <c r="C25" s="13">
        <v>46</v>
      </c>
      <c r="D25" s="14">
        <v>44023</v>
      </c>
      <c r="E25" s="21">
        <v>0.12</v>
      </c>
      <c r="F25" s="13" t="s">
        <v>20</v>
      </c>
      <c r="G25" s="22">
        <v>20</v>
      </c>
      <c r="H25" s="15" t="s">
        <v>19</v>
      </c>
      <c r="I25" s="16">
        <v>1115</v>
      </c>
      <c r="J25" s="17">
        <v>22300</v>
      </c>
      <c r="K25" s="18">
        <v>0</v>
      </c>
      <c r="L25" s="18">
        <v>1338</v>
      </c>
      <c r="M25" s="18">
        <v>1338</v>
      </c>
      <c r="N25" s="18"/>
      <c r="O25" s="18">
        <v>24976</v>
      </c>
      <c r="P25" s="17">
        <v>24976</v>
      </c>
    </row>
    <row r="26" spans="1:16" ht="15.6" x14ac:dyDescent="0.3">
      <c r="A26" s="23" t="s">
        <v>22</v>
      </c>
      <c r="B26" s="7" t="s">
        <v>23</v>
      </c>
      <c r="C26" s="7">
        <v>47</v>
      </c>
      <c r="D26" s="8">
        <v>43963</v>
      </c>
      <c r="E26" s="19">
        <v>0.03</v>
      </c>
      <c r="F26" s="7" t="s">
        <v>18</v>
      </c>
      <c r="G26" s="20">
        <v>10</v>
      </c>
      <c r="H26" s="9" t="s">
        <v>19</v>
      </c>
      <c r="I26" s="10">
        <v>1115</v>
      </c>
      <c r="J26" s="11">
        <v>11150</v>
      </c>
      <c r="K26" s="12">
        <v>0</v>
      </c>
      <c r="L26" s="12">
        <v>167.25</v>
      </c>
      <c r="M26" s="12">
        <v>167.25</v>
      </c>
      <c r="N26" s="12"/>
      <c r="O26" s="12">
        <v>11484.5</v>
      </c>
      <c r="P26" s="11">
        <v>11484.5</v>
      </c>
    </row>
    <row r="27" spans="1:16" ht="15.6" x14ac:dyDescent="0.3">
      <c r="A27" s="24" t="s">
        <v>16</v>
      </c>
      <c r="B27" s="13" t="s">
        <v>23</v>
      </c>
      <c r="C27" s="13">
        <v>48</v>
      </c>
      <c r="D27" s="14">
        <v>43994</v>
      </c>
      <c r="E27" s="21">
        <v>0.28000000000000003</v>
      </c>
      <c r="F27" s="13" t="s">
        <v>20</v>
      </c>
      <c r="G27" s="22">
        <v>35</v>
      </c>
      <c r="H27" s="15" t="s">
        <v>19</v>
      </c>
      <c r="I27" s="16">
        <v>1115</v>
      </c>
      <c r="J27" s="17">
        <v>39025</v>
      </c>
      <c r="K27" s="18">
        <v>0</v>
      </c>
      <c r="L27" s="18">
        <v>5463.5000000000009</v>
      </c>
      <c r="M27" s="18">
        <v>5463.5000000000009</v>
      </c>
      <c r="N27" s="18"/>
      <c r="O27" s="18">
        <v>49952</v>
      </c>
      <c r="P27" s="17">
        <v>49952</v>
      </c>
    </row>
    <row r="28" spans="1:16" ht="15.6" x14ac:dyDescent="0.3">
      <c r="A28" s="23" t="s">
        <v>16</v>
      </c>
      <c r="B28" s="7" t="s">
        <v>23</v>
      </c>
      <c r="C28" s="7">
        <v>49</v>
      </c>
      <c r="D28" s="8">
        <v>44024</v>
      </c>
      <c r="E28" s="19">
        <v>0.12</v>
      </c>
      <c r="F28" s="7" t="s">
        <v>18</v>
      </c>
      <c r="G28" s="20">
        <v>15</v>
      </c>
      <c r="H28" s="9" t="s">
        <v>19</v>
      </c>
      <c r="I28" s="10">
        <v>1115</v>
      </c>
      <c r="J28" s="11">
        <v>16725</v>
      </c>
      <c r="K28" s="12">
        <v>0</v>
      </c>
      <c r="L28" s="12">
        <v>1003.5</v>
      </c>
      <c r="M28" s="12">
        <v>1003.5</v>
      </c>
      <c r="N28" s="12"/>
      <c r="O28" s="12">
        <v>18732</v>
      </c>
      <c r="P28" s="11">
        <v>18732</v>
      </c>
    </row>
    <row r="29" spans="1:16" ht="15.6" x14ac:dyDescent="0.3">
      <c r="A29" s="24" t="s">
        <v>16</v>
      </c>
      <c r="B29" s="13" t="s">
        <v>23</v>
      </c>
      <c r="C29" s="13">
        <v>50</v>
      </c>
      <c r="D29" s="14">
        <v>44317</v>
      </c>
      <c r="E29" s="21">
        <v>0.03</v>
      </c>
      <c r="F29" s="13" t="s">
        <v>20</v>
      </c>
      <c r="G29" s="22">
        <v>25</v>
      </c>
      <c r="H29" s="15" t="s">
        <v>19</v>
      </c>
      <c r="I29" s="16">
        <v>1115</v>
      </c>
      <c r="J29" s="17">
        <v>27875</v>
      </c>
      <c r="K29" s="18">
        <v>0</v>
      </c>
      <c r="L29" s="18">
        <v>418.125</v>
      </c>
      <c r="M29" s="18">
        <v>418.125</v>
      </c>
      <c r="N29" s="18"/>
      <c r="O29" s="18">
        <v>28711.25</v>
      </c>
      <c r="P29" s="17">
        <v>28711.25</v>
      </c>
    </row>
    <row r="30" spans="1:16" ht="15.6" x14ac:dyDescent="0.3">
      <c r="A30" s="23" t="s">
        <v>16</v>
      </c>
      <c r="B30" s="7" t="s">
        <v>23</v>
      </c>
      <c r="C30" s="7">
        <v>51</v>
      </c>
      <c r="D30" s="8">
        <v>44348</v>
      </c>
      <c r="E30" s="19">
        <v>0.28000000000000003</v>
      </c>
      <c r="F30" s="7" t="s">
        <v>18</v>
      </c>
      <c r="G30" s="20">
        <v>10</v>
      </c>
      <c r="H30" s="9" t="s">
        <v>19</v>
      </c>
      <c r="I30" s="10">
        <v>1115</v>
      </c>
      <c r="J30" s="11">
        <v>11150</v>
      </c>
      <c r="K30" s="12">
        <v>0</v>
      </c>
      <c r="L30" s="12">
        <v>1561.0000000000002</v>
      </c>
      <c r="M30" s="12">
        <v>1561.0000000000002</v>
      </c>
      <c r="N30" s="12"/>
      <c r="O30" s="12">
        <v>14272</v>
      </c>
      <c r="P30" s="11">
        <v>14272</v>
      </c>
    </row>
    <row r="31" spans="1:16" ht="15.6" x14ac:dyDescent="0.3">
      <c r="A31" s="24" t="s">
        <v>16</v>
      </c>
      <c r="B31" s="13" t="s">
        <v>23</v>
      </c>
      <c r="C31" s="13">
        <v>52</v>
      </c>
      <c r="D31" s="14">
        <v>44378</v>
      </c>
      <c r="E31" s="21">
        <v>0.05</v>
      </c>
      <c r="F31" s="13" t="s">
        <v>20</v>
      </c>
      <c r="G31" s="22">
        <v>5</v>
      </c>
      <c r="H31" s="15" t="s">
        <v>19</v>
      </c>
      <c r="I31" s="16">
        <v>1115</v>
      </c>
      <c r="J31" s="17">
        <v>5575</v>
      </c>
      <c r="K31" s="18">
        <v>0</v>
      </c>
      <c r="L31" s="18">
        <v>139.375</v>
      </c>
      <c r="M31" s="18">
        <v>139.375</v>
      </c>
      <c r="N31" s="18"/>
      <c r="O31" s="18">
        <v>5853.75</v>
      </c>
      <c r="P31" s="17">
        <v>5853.75</v>
      </c>
    </row>
    <row r="32" spans="1:16" ht="15.6" x14ac:dyDescent="0.3">
      <c r="A32" s="23" t="s">
        <v>22</v>
      </c>
      <c r="B32" s="7" t="s">
        <v>23</v>
      </c>
      <c r="C32" s="7">
        <v>53</v>
      </c>
      <c r="D32" s="8">
        <v>44318</v>
      </c>
      <c r="E32" s="19">
        <v>0.03</v>
      </c>
      <c r="F32" s="7" t="s">
        <v>18</v>
      </c>
      <c r="G32" s="20">
        <v>8</v>
      </c>
      <c r="H32" s="9" t="s">
        <v>19</v>
      </c>
      <c r="I32" s="10">
        <v>1115</v>
      </c>
      <c r="J32" s="11">
        <v>8920</v>
      </c>
      <c r="K32" s="12">
        <v>0</v>
      </c>
      <c r="L32" s="12">
        <v>133.79999999999998</v>
      </c>
      <c r="M32" s="12">
        <v>133.79999999999998</v>
      </c>
      <c r="N32" s="12"/>
      <c r="O32" s="12">
        <v>9187.5999999999985</v>
      </c>
      <c r="P32" s="11">
        <v>9187.5999999999985</v>
      </c>
    </row>
    <row r="33" spans="1:16" ht="15.6" x14ac:dyDescent="0.3">
      <c r="A33" s="24" t="s">
        <v>22</v>
      </c>
      <c r="B33" s="13" t="s">
        <v>23</v>
      </c>
      <c r="C33" s="13">
        <v>54</v>
      </c>
      <c r="D33" s="14">
        <v>44349</v>
      </c>
      <c r="E33" s="21">
        <v>0.05</v>
      </c>
      <c r="F33" s="13" t="s">
        <v>20</v>
      </c>
      <c r="G33" s="22">
        <v>10</v>
      </c>
      <c r="H33" s="15" t="s">
        <v>19</v>
      </c>
      <c r="I33" s="16">
        <v>1115</v>
      </c>
      <c r="J33" s="17">
        <v>11150</v>
      </c>
      <c r="K33" s="18">
        <v>0</v>
      </c>
      <c r="L33" s="18">
        <v>278.75</v>
      </c>
      <c r="M33" s="18">
        <v>278.75</v>
      </c>
      <c r="N33" s="18"/>
      <c r="O33" s="18">
        <v>11707.5</v>
      </c>
      <c r="P33" s="17">
        <v>11707.5</v>
      </c>
    </row>
    <row r="34" spans="1:16" ht="15.6" x14ac:dyDescent="0.3">
      <c r="A34" s="23" t="s">
        <v>22</v>
      </c>
      <c r="B34" s="7" t="s">
        <v>23</v>
      </c>
      <c r="C34" s="7">
        <v>55</v>
      </c>
      <c r="D34" s="8">
        <v>44379</v>
      </c>
      <c r="E34" s="19">
        <v>0.05</v>
      </c>
      <c r="F34" s="7" t="s">
        <v>18</v>
      </c>
      <c r="G34" s="20">
        <v>2</v>
      </c>
      <c r="H34" s="9" t="s">
        <v>19</v>
      </c>
      <c r="I34" s="10">
        <v>1115</v>
      </c>
      <c r="J34" s="11">
        <v>2230</v>
      </c>
      <c r="K34" s="12">
        <v>0</v>
      </c>
      <c r="L34" s="12">
        <v>55.75</v>
      </c>
      <c r="M34" s="12">
        <v>55.75</v>
      </c>
      <c r="N34" s="12"/>
      <c r="O34" s="12">
        <v>2341.5</v>
      </c>
      <c r="P34" s="11">
        <v>2341.5</v>
      </c>
    </row>
    <row r="35" spans="1:16" ht="15.6" x14ac:dyDescent="0.3">
      <c r="A35" s="24" t="s">
        <v>22</v>
      </c>
      <c r="B35" s="13" t="s">
        <v>23</v>
      </c>
      <c r="C35" s="13">
        <v>56</v>
      </c>
      <c r="D35" s="14">
        <v>44319</v>
      </c>
      <c r="E35" s="21">
        <v>0.28000000000000003</v>
      </c>
      <c r="F35" s="13" t="s">
        <v>20</v>
      </c>
      <c r="G35" s="22">
        <v>4</v>
      </c>
      <c r="H35" s="15" t="s">
        <v>19</v>
      </c>
      <c r="I35" s="16">
        <v>1115</v>
      </c>
      <c r="J35" s="17">
        <v>4460</v>
      </c>
      <c r="K35" s="18">
        <v>0</v>
      </c>
      <c r="L35" s="18">
        <v>624.40000000000009</v>
      </c>
      <c r="M35" s="18">
        <v>624.40000000000009</v>
      </c>
      <c r="N35" s="18"/>
      <c r="O35" s="18">
        <v>5708.7999999999993</v>
      </c>
      <c r="P35" s="17">
        <v>5708.7999999999993</v>
      </c>
    </row>
    <row r="36" spans="1:16" ht="15.6" x14ac:dyDescent="0.3">
      <c r="A36" s="23" t="s">
        <v>16</v>
      </c>
      <c r="B36" s="7" t="s">
        <v>23</v>
      </c>
      <c r="C36" s="7">
        <v>57</v>
      </c>
      <c r="D36" s="8">
        <v>44350</v>
      </c>
      <c r="E36" s="19">
        <v>1E-3</v>
      </c>
      <c r="F36" s="7" t="s">
        <v>18</v>
      </c>
      <c r="G36" s="20">
        <v>6</v>
      </c>
      <c r="H36" s="9" t="s">
        <v>19</v>
      </c>
      <c r="I36" s="10">
        <v>1115</v>
      </c>
      <c r="J36" s="11">
        <v>6690</v>
      </c>
      <c r="K36" s="12">
        <v>0</v>
      </c>
      <c r="L36" s="12">
        <v>3.3450000000000002</v>
      </c>
      <c r="M36" s="12">
        <v>3.3450000000000002</v>
      </c>
      <c r="N36" s="12"/>
      <c r="O36" s="12">
        <v>6696.6900000000005</v>
      </c>
      <c r="P36" s="11">
        <v>6696.6900000000005</v>
      </c>
    </row>
    <row r="37" spans="1:16" ht="15.6" x14ac:dyDescent="0.3">
      <c r="A37" s="24" t="s">
        <v>16</v>
      </c>
      <c r="B37" s="13" t="s">
        <v>23</v>
      </c>
      <c r="C37" s="13">
        <v>58</v>
      </c>
      <c r="D37" s="14">
        <v>44380</v>
      </c>
      <c r="E37" s="21">
        <v>0</v>
      </c>
      <c r="F37" s="13" t="s">
        <v>20</v>
      </c>
      <c r="G37" s="22">
        <v>5</v>
      </c>
      <c r="H37" s="15" t="s">
        <v>19</v>
      </c>
      <c r="I37" s="16">
        <v>1115</v>
      </c>
      <c r="J37" s="17">
        <v>5575</v>
      </c>
      <c r="K37" s="18">
        <v>0</v>
      </c>
      <c r="L37" s="18">
        <v>0</v>
      </c>
      <c r="M37" s="18">
        <v>0</v>
      </c>
      <c r="N37" s="18"/>
      <c r="O37" s="18">
        <v>5575</v>
      </c>
      <c r="P37" s="17">
        <v>5575</v>
      </c>
    </row>
  </sheetData>
  <conditionalFormatting sqref="A10:A13 A19:A26 A32:A35">
    <cfRule type="expression" dxfId="12" priority="9">
      <formula>IF(ISBLANK(#REF!), 0, SEARCH(#REF!,$A10&amp;#REF!&amp;$B4&amp;$C4&amp;#REF!&amp;$J4))</formula>
    </cfRule>
  </conditionalFormatting>
  <conditionalFormatting sqref="A12:A13">
    <cfRule type="expression" dxfId="11" priority="6">
      <formula>IF(ISBLANK(#REF!), 0, SEARCH(#REF!,$A12&amp;#REF!&amp;$B6&amp;$C6&amp;#REF!&amp;$E6))</formula>
    </cfRule>
  </conditionalFormatting>
  <conditionalFormatting sqref="A21:A22 A25:A26 A34:A35">
    <cfRule type="expression" dxfId="10" priority="13">
      <formula>IF(ISBLANK(#REF!), 0, SEARCH(#REF!,$A21&amp;#REF!&amp;$B15&amp;$C15&amp;#REF!&amp;$E15))</formula>
    </cfRule>
  </conditionalFormatting>
  <conditionalFormatting sqref="B14:B37 E16:E37 G16:G37 J16:J37">
    <cfRule type="expression" dxfId="9" priority="2">
      <formula>IF(ISBLANK(#REF!), 0, SEARCH(#REF!,$A14&amp;#REF!&amp;$B14&amp;$D14&amp;#REF!&amp;$J14))</formula>
    </cfRule>
  </conditionalFormatting>
  <conditionalFormatting sqref="B16:B37 E16:E37 G16:G37 J16:J37">
    <cfRule type="expression" dxfId="8" priority="1">
      <formula>IF(ISBLANK(#REF!), 0, SEARCH(#REF!,$A16&amp;#REF!&amp;$B16&amp;$D16&amp;#REF!&amp;$E16))</formula>
    </cfRule>
  </conditionalFormatting>
  <conditionalFormatting sqref="C2:C3 E2:J3 A4:A9 B4:C13 F4:F37 H4:I37 C14:C37">
    <cfRule type="expression" dxfId="7" priority="5">
      <formula>IF(ISBLANK(#REF!), 0, SEARCH(#REF!,$A2&amp;#REF!&amp;$B2&amp;$C2&amp;#REF!&amp;$J2))</formula>
    </cfRule>
  </conditionalFormatting>
  <conditionalFormatting sqref="D2:D37 A16:A18 A29:A31 A37">
    <cfRule type="expression" dxfId="6" priority="12">
      <formula>IF(ISBLANK(#REF!), 0, SEARCH(#REF!,$A2&amp;#REF!&amp;$B2&amp;$C2&amp;#REF!&amp;$J2))</formula>
    </cfRule>
  </conditionalFormatting>
  <conditionalFormatting sqref="E4:E9 G4:G9 J4:J9">
    <cfRule type="expression" dxfId="5" priority="10">
      <formula>IF(ISBLANK(#REF!), 0, SEARCH(#REF!,$A10&amp;#REF!&amp;$B4&amp;$C4&amp;#REF!&amp;$J4))</formula>
    </cfRule>
  </conditionalFormatting>
  <conditionalFormatting sqref="E6:E9 G6:G9 J6:J9">
    <cfRule type="expression" dxfId="4" priority="7">
      <formula>IF(ISBLANK(#REF!), 0, SEARCH(#REF!,$A12&amp;#REF!&amp;$B6&amp;$C6&amp;#REF!&amp;$E6))</formula>
    </cfRule>
  </conditionalFormatting>
  <conditionalFormatting sqref="E10:E13 G10:G13 J10:J13">
    <cfRule type="expression" dxfId="3" priority="8">
      <formula>IF(ISBLANK(#REF!), 0, SEARCH(#REF!,#REF!&amp;#REF!&amp;$B10&amp;$C10&amp;#REF!&amp;$E10))</formula>
    </cfRule>
    <cfRule type="expression" dxfId="2" priority="11">
      <formula>IF(ISBLANK(#REF!), 0, SEARCH(#REF!,#REF!&amp;#REF!&amp;$B10&amp;$C10&amp;#REF!&amp;$J10))</formula>
    </cfRule>
  </conditionalFormatting>
  <conditionalFormatting sqref="E14:E15 G14:G15 J14:J15">
    <cfRule type="expression" dxfId="1" priority="3">
      <formula>IF(ISBLANK(#REF!), 0, SEARCH(#REF!,#REF!&amp;#REF!&amp;$B14&amp;$D14&amp;#REF!&amp;$E14))</formula>
    </cfRule>
    <cfRule type="expression" dxfId="0"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G11" sqref="G11"/>
    </sheetView>
    <sheetView workbookViewId="1"/>
  </sheetViews>
  <sheetFormatPr defaultRowHeight="14.4" x14ac:dyDescent="0.3"/>
  <cols>
    <col min="2" max="2" width="20.33203125" bestFit="1" customWidth="1"/>
    <col min="3" max="3" width="17.88671875" bestFit="1" customWidth="1"/>
  </cols>
  <sheetData>
    <row r="2" spans="2:3" ht="21" x14ac:dyDescent="0.4">
      <c r="B2" s="6" t="s">
        <v>35</v>
      </c>
      <c r="C2" s="6" t="s">
        <v>40</v>
      </c>
    </row>
    <row r="3" spans="2:3" ht="21" x14ac:dyDescent="0.4">
      <c r="B3" s="6" t="s">
        <v>36</v>
      </c>
      <c r="C3" s="6" t="s">
        <v>41</v>
      </c>
    </row>
    <row r="4" spans="2:3" ht="21" x14ac:dyDescent="0.4">
      <c r="B4" s="6" t="s">
        <v>37</v>
      </c>
      <c r="C4" s="6" t="s">
        <v>42</v>
      </c>
    </row>
    <row r="5" spans="2:3" ht="21" x14ac:dyDescent="0.4">
      <c r="B5" s="6" t="s">
        <v>38</v>
      </c>
      <c r="C5" s="6" t="s">
        <v>43</v>
      </c>
    </row>
    <row r="6" spans="2:3" ht="21" x14ac:dyDescent="0.4">
      <c r="B6" s="6" t="s">
        <v>39</v>
      </c>
      <c r="C6" s="6" t="s">
        <v>44</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AD002-1A35-4445-81B2-7F775C610301}">
  <dimension ref="A1:Q26"/>
  <sheetViews>
    <sheetView tabSelected="1" zoomScale="96" workbookViewId="0">
      <selection activeCell="A3" sqref="A3"/>
    </sheetView>
    <sheetView showGridLines="0" tabSelected="1" topLeftCell="A12" zoomScale="109" zoomScaleNormal="109" workbookViewId="1">
      <selection activeCell="R8" sqref="R8"/>
    </sheetView>
  </sheetViews>
  <sheetFormatPr defaultRowHeight="14.4" x14ac:dyDescent="0.3"/>
  <cols>
    <col min="17" max="17" width="11.21875" customWidth="1"/>
  </cols>
  <sheetData>
    <row r="1" spans="1:17" x14ac:dyDescent="0.3">
      <c r="A1" s="29"/>
      <c r="B1" s="29"/>
      <c r="C1" s="29"/>
      <c r="D1" s="29"/>
      <c r="E1" s="29"/>
      <c r="F1" s="29"/>
      <c r="G1" s="29"/>
      <c r="H1" s="29"/>
      <c r="I1" s="29"/>
      <c r="J1" s="29"/>
      <c r="K1" s="29"/>
      <c r="L1" s="29"/>
      <c r="M1" s="29"/>
      <c r="N1" s="29"/>
      <c r="O1" s="29"/>
      <c r="P1" s="29"/>
      <c r="Q1" s="29"/>
    </row>
    <row r="2" spans="1:17" x14ac:dyDescent="0.3">
      <c r="A2" s="29"/>
      <c r="B2" s="29"/>
      <c r="C2" s="29"/>
      <c r="D2" s="29"/>
      <c r="E2" s="29"/>
      <c r="F2" s="29"/>
      <c r="G2" s="29"/>
      <c r="H2" s="29"/>
      <c r="I2" s="29"/>
      <c r="J2" s="29"/>
      <c r="K2" s="29"/>
      <c r="L2" s="29"/>
      <c r="M2" s="29"/>
      <c r="N2" s="29"/>
      <c r="O2" s="29"/>
      <c r="P2" s="29"/>
      <c r="Q2" s="29"/>
    </row>
    <row r="3" spans="1:17" x14ac:dyDescent="0.3">
      <c r="A3" s="29"/>
      <c r="B3" s="29"/>
      <c r="C3" s="29"/>
      <c r="D3" s="29"/>
      <c r="E3" s="29"/>
      <c r="F3" s="29"/>
      <c r="G3" s="29"/>
      <c r="H3" s="29"/>
      <c r="I3" s="29"/>
      <c r="J3" s="29"/>
      <c r="K3" s="29"/>
      <c r="L3" s="29"/>
      <c r="M3" s="29"/>
      <c r="N3" s="29"/>
      <c r="O3" s="29"/>
      <c r="P3" s="29"/>
      <c r="Q3" s="29"/>
    </row>
    <row r="4" spans="1:17" x14ac:dyDescent="0.3">
      <c r="A4" s="29"/>
      <c r="B4" s="29"/>
      <c r="C4" s="29"/>
      <c r="D4" s="29"/>
      <c r="E4" s="29"/>
      <c r="F4" s="29"/>
      <c r="G4" s="29"/>
      <c r="H4" s="29"/>
      <c r="I4" s="29"/>
      <c r="J4" s="29"/>
      <c r="K4" s="29"/>
      <c r="L4" s="29"/>
      <c r="M4" s="29"/>
      <c r="N4" s="29"/>
      <c r="O4" s="29"/>
      <c r="P4" s="29"/>
      <c r="Q4" s="29"/>
    </row>
    <row r="5" spans="1:17" x14ac:dyDescent="0.3">
      <c r="A5" s="29"/>
      <c r="B5" s="29"/>
      <c r="C5" s="29"/>
      <c r="D5" s="29"/>
      <c r="E5" s="29"/>
      <c r="F5" s="29"/>
      <c r="G5" s="29"/>
      <c r="H5" s="29"/>
      <c r="I5" s="29"/>
      <c r="J5" s="29"/>
      <c r="K5" s="29"/>
      <c r="L5" s="29"/>
      <c r="M5" s="29"/>
      <c r="N5" s="29"/>
      <c r="O5" s="29"/>
      <c r="P5" s="29"/>
      <c r="Q5" s="29"/>
    </row>
    <row r="6" spans="1:17" x14ac:dyDescent="0.3">
      <c r="A6" s="29"/>
      <c r="B6" s="29"/>
      <c r="C6" s="29"/>
      <c r="D6" s="29"/>
      <c r="E6" s="29"/>
      <c r="F6" s="29"/>
      <c r="G6" s="29"/>
      <c r="H6" s="29"/>
      <c r="I6" s="29"/>
      <c r="J6" s="29"/>
      <c r="K6" s="29"/>
      <c r="L6" s="29"/>
      <c r="M6" s="29"/>
      <c r="N6" s="29"/>
      <c r="O6" s="29"/>
      <c r="P6" s="29"/>
      <c r="Q6" s="29"/>
    </row>
    <row r="7" spans="1:17" x14ac:dyDescent="0.3">
      <c r="A7" s="29"/>
      <c r="B7" s="29"/>
      <c r="C7" s="29"/>
      <c r="D7" s="29"/>
      <c r="E7" s="29"/>
      <c r="F7" s="29"/>
      <c r="G7" s="29"/>
      <c r="H7" s="29"/>
      <c r="I7" s="29"/>
      <c r="J7" s="29"/>
      <c r="K7" s="29"/>
      <c r="L7" s="29"/>
      <c r="M7" s="29"/>
      <c r="N7" s="29"/>
      <c r="O7" s="29"/>
      <c r="P7" s="29"/>
      <c r="Q7" s="29"/>
    </row>
    <row r="8" spans="1:17" x14ac:dyDescent="0.3">
      <c r="A8" s="29"/>
      <c r="B8" s="29"/>
      <c r="C8" s="29"/>
      <c r="D8" s="29"/>
      <c r="E8" s="29"/>
      <c r="F8" s="29"/>
      <c r="G8" s="29"/>
      <c r="H8" s="29"/>
      <c r="I8" s="29"/>
      <c r="J8" s="29"/>
      <c r="K8" s="29"/>
      <c r="L8" s="29"/>
      <c r="M8" s="29"/>
      <c r="N8" s="29"/>
      <c r="O8" s="29"/>
      <c r="P8" s="29"/>
      <c r="Q8" s="29"/>
    </row>
    <row r="9" spans="1:17" x14ac:dyDescent="0.3">
      <c r="A9" s="29"/>
      <c r="B9" s="29"/>
      <c r="C9" s="29"/>
      <c r="D9" s="29"/>
      <c r="E9" s="29"/>
      <c r="F9" s="29"/>
      <c r="G9" s="29"/>
      <c r="H9" s="29"/>
      <c r="I9" s="29"/>
      <c r="J9" s="29"/>
      <c r="K9" s="29"/>
      <c r="L9" s="29"/>
      <c r="M9" s="29"/>
      <c r="N9" s="29"/>
      <c r="O9" s="29"/>
      <c r="P9" s="29"/>
      <c r="Q9" s="29"/>
    </row>
    <row r="10" spans="1:17" x14ac:dyDescent="0.3">
      <c r="A10" s="29"/>
      <c r="B10" s="29"/>
      <c r="C10" s="29"/>
      <c r="D10" s="29"/>
      <c r="E10" s="29"/>
      <c r="F10" s="29"/>
      <c r="G10" s="29"/>
      <c r="H10" s="29"/>
      <c r="I10" s="29"/>
      <c r="J10" s="29"/>
      <c r="K10" s="29"/>
      <c r="L10" s="29"/>
      <c r="M10" s="29"/>
      <c r="N10" s="29"/>
      <c r="O10" s="29"/>
      <c r="P10" s="29"/>
      <c r="Q10" s="29"/>
    </row>
    <row r="11" spans="1:17" x14ac:dyDescent="0.3">
      <c r="A11" s="29"/>
      <c r="B11" s="29"/>
      <c r="C11" s="29"/>
      <c r="D11" s="29"/>
      <c r="E11" s="29"/>
      <c r="F11" s="29"/>
      <c r="G11" s="29"/>
      <c r="H11" s="29"/>
      <c r="I11" s="29"/>
      <c r="J11" s="29"/>
      <c r="K11" s="29"/>
      <c r="L11" s="29"/>
      <c r="M11" s="29"/>
      <c r="N11" s="29"/>
      <c r="O11" s="29"/>
      <c r="P11" s="29"/>
      <c r="Q11" s="29"/>
    </row>
    <row r="12" spans="1:17" x14ac:dyDescent="0.3">
      <c r="A12" s="29"/>
      <c r="B12" s="29"/>
      <c r="C12" s="29"/>
      <c r="D12" s="29"/>
      <c r="E12" s="29"/>
      <c r="F12" s="29"/>
      <c r="G12" s="29"/>
      <c r="H12" s="29"/>
      <c r="I12" s="29"/>
      <c r="J12" s="29"/>
      <c r="K12" s="29"/>
      <c r="L12" s="29"/>
      <c r="M12" s="29"/>
      <c r="N12" s="29"/>
      <c r="O12" s="29"/>
      <c r="P12" s="29"/>
      <c r="Q12" s="29"/>
    </row>
    <row r="13" spans="1:17" x14ac:dyDescent="0.3">
      <c r="A13" s="29"/>
      <c r="B13" s="29"/>
      <c r="C13" s="29"/>
      <c r="D13" s="29"/>
      <c r="E13" s="29"/>
      <c r="F13" s="29"/>
      <c r="G13" s="29"/>
      <c r="H13" s="29"/>
      <c r="I13" s="29"/>
      <c r="J13" s="29"/>
      <c r="K13" s="29"/>
      <c r="L13" s="29"/>
      <c r="M13" s="29"/>
      <c r="N13" s="29"/>
      <c r="O13" s="29"/>
      <c r="P13" s="29"/>
      <c r="Q13" s="29"/>
    </row>
    <row r="14" spans="1:17" x14ac:dyDescent="0.3">
      <c r="A14" s="29"/>
      <c r="B14" s="29"/>
      <c r="C14" s="29"/>
      <c r="D14" s="29"/>
      <c r="E14" s="29"/>
      <c r="F14" s="29"/>
      <c r="G14" s="29"/>
      <c r="H14" s="29"/>
      <c r="I14" s="29"/>
      <c r="J14" s="29"/>
      <c r="K14" s="29"/>
      <c r="L14" s="29"/>
      <c r="M14" s="29"/>
      <c r="N14" s="29"/>
      <c r="O14" s="29"/>
      <c r="P14" s="29"/>
      <c r="Q14" s="29"/>
    </row>
    <row r="15" spans="1:17" x14ac:dyDescent="0.3">
      <c r="A15" s="29"/>
      <c r="B15" s="29"/>
      <c r="C15" s="29"/>
      <c r="D15" s="29"/>
      <c r="E15" s="29"/>
      <c r="F15" s="29"/>
      <c r="G15" s="29"/>
      <c r="H15" s="29"/>
      <c r="I15" s="29"/>
      <c r="J15" s="29"/>
      <c r="K15" s="29"/>
      <c r="L15" s="29"/>
      <c r="M15" s="29"/>
      <c r="N15" s="29"/>
      <c r="O15" s="29"/>
      <c r="P15" s="29"/>
      <c r="Q15" s="29"/>
    </row>
    <row r="16" spans="1:17" x14ac:dyDescent="0.3">
      <c r="A16" s="29"/>
      <c r="B16" s="29"/>
      <c r="C16" s="29"/>
      <c r="D16" s="29"/>
      <c r="E16" s="29"/>
      <c r="F16" s="29"/>
      <c r="G16" s="29"/>
      <c r="H16" s="29"/>
      <c r="I16" s="29"/>
      <c r="J16" s="29"/>
      <c r="K16" s="29"/>
      <c r="L16" s="29"/>
      <c r="M16" s="29"/>
      <c r="N16" s="29"/>
      <c r="O16" s="29"/>
      <c r="P16" s="29"/>
      <c r="Q16" s="29"/>
    </row>
    <row r="17" spans="1:17" x14ac:dyDescent="0.3">
      <c r="A17" s="29"/>
      <c r="B17" s="29"/>
      <c r="C17" s="29"/>
      <c r="D17" s="29"/>
      <c r="E17" s="29"/>
      <c r="F17" s="29"/>
      <c r="G17" s="29"/>
      <c r="H17" s="29"/>
      <c r="I17" s="29"/>
      <c r="J17" s="29"/>
      <c r="K17" s="29"/>
      <c r="L17" s="29"/>
      <c r="M17" s="29"/>
      <c r="N17" s="29"/>
      <c r="O17" s="29"/>
      <c r="P17" s="29"/>
      <c r="Q17" s="29"/>
    </row>
    <row r="18" spans="1:17" x14ac:dyDescent="0.3">
      <c r="A18" s="29"/>
      <c r="B18" s="29"/>
      <c r="C18" s="29"/>
      <c r="D18" s="29"/>
      <c r="E18" s="29"/>
      <c r="F18" s="29"/>
      <c r="G18" s="29"/>
      <c r="H18" s="29"/>
      <c r="I18" s="29"/>
      <c r="J18" s="29"/>
      <c r="K18" s="29"/>
      <c r="L18" s="29"/>
      <c r="M18" s="29"/>
      <c r="N18" s="29"/>
      <c r="O18" s="29"/>
      <c r="P18" s="29"/>
      <c r="Q18" s="29"/>
    </row>
    <row r="19" spans="1:17" x14ac:dyDescent="0.3">
      <c r="A19" s="29"/>
      <c r="B19" s="29"/>
      <c r="C19" s="29"/>
      <c r="D19" s="29"/>
      <c r="E19" s="29"/>
      <c r="F19" s="29"/>
      <c r="G19" s="29"/>
      <c r="H19" s="29"/>
      <c r="I19" s="29"/>
      <c r="J19" s="29"/>
      <c r="K19" s="29"/>
      <c r="L19" s="29"/>
      <c r="M19" s="29"/>
      <c r="N19" s="29"/>
      <c r="O19" s="29"/>
      <c r="P19" s="29"/>
      <c r="Q19" s="29"/>
    </row>
    <row r="20" spans="1:17" x14ac:dyDescent="0.3">
      <c r="A20" s="29"/>
      <c r="B20" s="29"/>
      <c r="C20" s="29"/>
      <c r="D20" s="29"/>
      <c r="E20" s="29"/>
      <c r="F20" s="29"/>
      <c r="G20" s="29"/>
      <c r="H20" s="29"/>
      <c r="I20" s="29"/>
      <c r="J20" s="29"/>
      <c r="K20" s="29"/>
      <c r="L20" s="29"/>
      <c r="M20" s="29"/>
      <c r="N20" s="29"/>
      <c r="O20" s="29"/>
      <c r="P20" s="29"/>
      <c r="Q20" s="29"/>
    </row>
    <row r="21" spans="1:17" x14ac:dyDescent="0.3">
      <c r="A21" s="29"/>
      <c r="B21" s="29"/>
      <c r="C21" s="29"/>
      <c r="D21" s="29"/>
      <c r="E21" s="29"/>
      <c r="F21" s="29"/>
      <c r="G21" s="29"/>
      <c r="H21" s="29"/>
      <c r="I21" s="29"/>
      <c r="J21" s="29"/>
      <c r="K21" s="29"/>
      <c r="L21" s="29"/>
      <c r="M21" s="29"/>
      <c r="N21" s="29"/>
      <c r="O21" s="29"/>
      <c r="P21" s="29"/>
      <c r="Q21" s="29"/>
    </row>
    <row r="22" spans="1:17" x14ac:dyDescent="0.3">
      <c r="A22" s="29"/>
      <c r="B22" s="29"/>
      <c r="C22" s="29"/>
      <c r="D22" s="29"/>
      <c r="E22" s="29"/>
      <c r="F22" s="29"/>
      <c r="G22" s="29"/>
      <c r="H22" s="29"/>
      <c r="I22" s="29"/>
      <c r="J22" s="29"/>
      <c r="K22" s="29"/>
      <c r="L22" s="29"/>
      <c r="M22" s="29"/>
      <c r="N22" s="29"/>
      <c r="O22" s="29"/>
      <c r="P22" s="29"/>
      <c r="Q22" s="29"/>
    </row>
    <row r="23" spans="1:17" x14ac:dyDescent="0.3">
      <c r="A23" s="29"/>
      <c r="B23" s="29"/>
      <c r="C23" s="29"/>
      <c r="D23" s="29"/>
      <c r="E23" s="29"/>
      <c r="F23" s="29"/>
      <c r="G23" s="29"/>
      <c r="H23" s="29"/>
      <c r="I23" s="29"/>
      <c r="J23" s="29"/>
      <c r="K23" s="29"/>
      <c r="L23" s="29"/>
      <c r="M23" s="29"/>
      <c r="N23" s="29"/>
      <c r="O23" s="29"/>
      <c r="P23" s="29"/>
      <c r="Q23" s="29"/>
    </row>
    <row r="24" spans="1:17" x14ac:dyDescent="0.3">
      <c r="A24" s="29"/>
      <c r="B24" s="29"/>
      <c r="C24" s="29"/>
      <c r="D24" s="29"/>
      <c r="E24" s="29"/>
      <c r="F24" s="29"/>
      <c r="G24" s="29"/>
      <c r="H24" s="29"/>
      <c r="I24" s="29"/>
      <c r="J24" s="29"/>
      <c r="K24" s="29"/>
      <c r="L24" s="29"/>
      <c r="M24" s="29"/>
      <c r="N24" s="29"/>
      <c r="O24" s="29"/>
      <c r="P24" s="29"/>
      <c r="Q24" s="29"/>
    </row>
    <row r="25" spans="1:17" x14ac:dyDescent="0.3">
      <c r="A25" s="29"/>
      <c r="B25" s="29"/>
      <c r="C25" s="29"/>
      <c r="D25" s="29"/>
      <c r="E25" s="29"/>
      <c r="F25" s="29"/>
      <c r="G25" s="29"/>
      <c r="H25" s="29"/>
      <c r="I25" s="29"/>
      <c r="J25" s="29"/>
      <c r="K25" s="29"/>
      <c r="L25" s="29"/>
      <c r="M25" s="29"/>
      <c r="N25" s="29"/>
      <c r="O25" s="29"/>
      <c r="P25" s="29"/>
      <c r="Q25" s="29"/>
    </row>
    <row r="26" spans="1:17" x14ac:dyDescent="0.3">
      <c r="A26" s="29"/>
      <c r="B26" s="29"/>
      <c r="C26" s="29"/>
      <c r="D26" s="29"/>
      <c r="E26" s="29"/>
      <c r="F26" s="29"/>
      <c r="G26" s="29"/>
      <c r="H26" s="29"/>
      <c r="I26" s="29"/>
      <c r="J26" s="29"/>
      <c r="K26" s="29"/>
      <c r="L26" s="29"/>
      <c r="M26" s="29"/>
      <c r="N26" s="29"/>
      <c r="O26" s="29"/>
      <c r="P26" s="29"/>
      <c r="Q26"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MONTH WISE</vt:lpstr>
      <vt:lpstr>TAX WISE</vt:lpstr>
      <vt:lpstr>PRODUCT WISE</vt:lpstr>
      <vt:lpstr>Firm_Wise</vt:lpstr>
      <vt:lpstr>Month_Wise</vt:lpstr>
      <vt:lpstr>Tax_Wise</vt:lpstr>
      <vt:lpstr>Product_Wise</vt:lpstr>
      <vt:lpstr>State_Wise</vt:lpstr>
      <vt:lpstr>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Preeti Singh</cp:lastModifiedBy>
  <cp:lastPrinted>2026-05-24T10:46:36Z</cp:lastPrinted>
  <dcterms:created xsi:type="dcterms:W3CDTF">2020-04-22T22:10:47Z</dcterms:created>
  <dcterms:modified xsi:type="dcterms:W3CDTF">2026-06-13T13:03:08Z</dcterms:modified>
</cp:coreProperties>
</file>